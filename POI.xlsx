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5181\Desktop\"/>
    </mc:Choice>
  </mc:AlternateContent>
  <xr:revisionPtr revIDLastSave="0" documentId="8_{3D56EEE4-FF2E-45D0-ADC5-FBF93A77B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统计_去餐饮" sheetId="1" r:id="rId1"/>
    <sheet name="Top15区域" sheetId="2" r:id="rId2"/>
    <sheet name="说明与分类规则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3" i="1" l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<sst xmlns="http://schemas.openxmlformats.org/spreadsheetml/2006/main" count="744" uniqueCount="497">
  <si>
    <t>zone_NO</t>
  </si>
  <si>
    <t>AREA_ID</t>
  </si>
  <si>
    <t>ORIGIN</t>
  </si>
  <si>
    <t>ZONE_NAME</t>
  </si>
  <si>
    <t>LAT</t>
  </si>
  <si>
    <t>LON</t>
  </si>
  <si>
    <t>tourism_count</t>
  </si>
  <si>
    <t>historic_count</t>
  </si>
  <si>
    <t>accommodation_count</t>
  </si>
  <si>
    <t>transport_count</t>
  </si>
  <si>
    <t>total_POI_no_food</t>
  </si>
  <si>
    <t>attraction_score</t>
  </si>
  <si>
    <t>5010</t>
  </si>
  <si>
    <t>napoli</t>
  </si>
  <si>
    <t>Napoli - 11</t>
  </si>
  <si>
    <t>5019</t>
  </si>
  <si>
    <t>Napoli - 42</t>
  </si>
  <si>
    <t>5001</t>
  </si>
  <si>
    <t>Napoli - 39</t>
  </si>
  <si>
    <t>5003</t>
  </si>
  <si>
    <t>Napoli - 69</t>
  </si>
  <si>
    <t>10196018005</t>
  </si>
  <si>
    <t>CESPI</t>
  </si>
  <si>
    <t>Pomigliano d'Arco</t>
  </si>
  <si>
    <t>10195914003</t>
  </si>
  <si>
    <t>Pago Veiano</t>
  </si>
  <si>
    <t>5015</t>
  </si>
  <si>
    <t>Napoli - 15</t>
  </si>
  <si>
    <t>10195926002</t>
  </si>
  <si>
    <t>Cautano</t>
  </si>
  <si>
    <t>10195931001</t>
  </si>
  <si>
    <t>Amorosi</t>
  </si>
  <si>
    <t>5018</t>
  </si>
  <si>
    <t>Napoli - 68</t>
  </si>
  <si>
    <t>10195933002</t>
  </si>
  <si>
    <t>Pietradefusi</t>
  </si>
  <si>
    <t>10195933003</t>
  </si>
  <si>
    <t>Frigento</t>
  </si>
  <si>
    <t>5022</t>
  </si>
  <si>
    <t>Napoli - 22</t>
  </si>
  <si>
    <t>5026</t>
  </si>
  <si>
    <t>Napoli - 26</t>
  </si>
  <si>
    <t>10196014001</t>
  </si>
  <si>
    <t>Striano</t>
  </si>
  <si>
    <t>10195933004</t>
  </si>
  <si>
    <t>Fontanarosa</t>
  </si>
  <si>
    <t>10195934000</t>
  </si>
  <si>
    <t>Vallesaccarda</t>
  </si>
  <si>
    <t>5038</t>
  </si>
  <si>
    <t>Napoli - 38</t>
  </si>
  <si>
    <t>5047</t>
  </si>
  <si>
    <t>Napoli - 48</t>
  </si>
  <si>
    <t>5028</t>
  </si>
  <si>
    <t>Napoli - 28</t>
  </si>
  <si>
    <t>5032</t>
  </si>
  <si>
    <t>Napoli - 32</t>
  </si>
  <si>
    <t>10195942002</t>
  </si>
  <si>
    <t>Forchia</t>
  </si>
  <si>
    <t>10195943000</t>
  </si>
  <si>
    <t>Luogosano</t>
  </si>
  <si>
    <t>10195977001</t>
  </si>
  <si>
    <t>Boscotrecase</t>
  </si>
  <si>
    <t>10196023000</t>
  </si>
  <si>
    <t>Acerra</t>
  </si>
  <si>
    <t>10196024000</t>
  </si>
  <si>
    <t>Saviano</t>
  </si>
  <si>
    <t>1015008000</t>
  </si>
  <si>
    <t>Barano d'Ischia</t>
  </si>
  <si>
    <t>1015008001</t>
  </si>
  <si>
    <t>Procida</t>
  </si>
  <si>
    <t>1015051000</t>
  </si>
  <si>
    <t>Caserta</t>
  </si>
  <si>
    <t>1015053000</t>
  </si>
  <si>
    <t>Benevento</t>
  </si>
  <si>
    <t>1015059000</t>
  </si>
  <si>
    <t>Avellino</t>
  </si>
  <si>
    <t>1015061000</t>
  </si>
  <si>
    <t>citta_metro</t>
  </si>
  <si>
    <t>Frazioni</t>
  </si>
  <si>
    <t>5040</t>
  </si>
  <si>
    <t>Napoli - 40</t>
  </si>
  <si>
    <t>10196078000</t>
  </si>
  <si>
    <t>Quarto</t>
  </si>
  <si>
    <t>10195945001</t>
  </si>
  <si>
    <t>Cava de' Tirreni</t>
  </si>
  <si>
    <t>10195946000</t>
  </si>
  <si>
    <t>Mercato San Severino</t>
  </si>
  <si>
    <t>10195946001</t>
  </si>
  <si>
    <t>Pellezzano</t>
  </si>
  <si>
    <t>10195946002</t>
  </si>
  <si>
    <t>Baronissi</t>
  </si>
  <si>
    <t>10196024001</t>
  </si>
  <si>
    <t>Somma Vesuviana</t>
  </si>
  <si>
    <t>10196025003</t>
  </si>
  <si>
    <t>San Vitaliano</t>
  </si>
  <si>
    <t>10196025000</t>
  </si>
  <si>
    <t>Brusciano</t>
  </si>
  <si>
    <t>10196025001</t>
  </si>
  <si>
    <t>Castello di Cisterna</t>
  </si>
  <si>
    <t>10196025002</t>
  </si>
  <si>
    <t>Marigliano</t>
  </si>
  <si>
    <t>10196032002</t>
  </si>
  <si>
    <t>Cardito</t>
  </si>
  <si>
    <t>10196032003</t>
  </si>
  <si>
    <t>Caivano</t>
  </si>
  <si>
    <t>10196046001</t>
  </si>
  <si>
    <t>Arzano</t>
  </si>
  <si>
    <t>10196062002</t>
  </si>
  <si>
    <t>Melito di Napoli</t>
  </si>
  <si>
    <t>10195991001</t>
  </si>
  <si>
    <t>Avella</t>
  </si>
  <si>
    <t>10195993000</t>
  </si>
  <si>
    <t>Domicella</t>
  </si>
  <si>
    <t>10196013000</t>
  </si>
  <si>
    <t>Cicciano</t>
  </si>
  <si>
    <t>10196013004</t>
  </si>
  <si>
    <t>Camposano</t>
  </si>
  <si>
    <t>10196013002</t>
  </si>
  <si>
    <t>Tufino</t>
  </si>
  <si>
    <t>10196014000</t>
  </si>
  <si>
    <t>Palma Campania</t>
  </si>
  <si>
    <t>10195946003</t>
  </si>
  <si>
    <t>Fisciano</t>
  </si>
  <si>
    <t>10195955000</t>
  </si>
  <si>
    <t>Pontecagnano Faiano</t>
  </si>
  <si>
    <t>10195955001</t>
  </si>
  <si>
    <t>Bellizzi</t>
  </si>
  <si>
    <t>10195956001</t>
  </si>
  <si>
    <t>Acerno</t>
  </si>
  <si>
    <t>10195956002</t>
  </si>
  <si>
    <t>Castiglione del Genovesi</t>
  </si>
  <si>
    <t>10196014002</t>
  </si>
  <si>
    <t>Poggiomarino</t>
  </si>
  <si>
    <t>10195958001</t>
  </si>
  <si>
    <t>Lettere</t>
  </si>
  <si>
    <t>10196014003</t>
  </si>
  <si>
    <t>Ottaviano</t>
  </si>
  <si>
    <t>10195958002</t>
  </si>
  <si>
    <t>Agerola</t>
  </si>
  <si>
    <t>10195958004</t>
  </si>
  <si>
    <t>Santa Maria la Carità</t>
  </si>
  <si>
    <t>10195959000</t>
  </si>
  <si>
    <t>Terzigno</t>
  </si>
  <si>
    <t>10195978001</t>
  </si>
  <si>
    <t>Portici</t>
  </si>
  <si>
    <t>10195995000</t>
  </si>
  <si>
    <t>Cervinara</t>
  </si>
  <si>
    <t>10196062000</t>
  </si>
  <si>
    <t>Casandrino</t>
  </si>
  <si>
    <t>10195959002</t>
  </si>
  <si>
    <t>Pompei</t>
  </si>
  <si>
    <t>10195959003</t>
  </si>
  <si>
    <t>Boscoreale</t>
  </si>
  <si>
    <t>10195970001</t>
  </si>
  <si>
    <t>Pagani</t>
  </si>
  <si>
    <t>5006</t>
  </si>
  <si>
    <t>Napoli - 7</t>
  </si>
  <si>
    <t>10195970002</t>
  </si>
  <si>
    <t>Nocera Inferiore</t>
  </si>
  <si>
    <t>10195970003</t>
  </si>
  <si>
    <t>Nocera Superiore</t>
  </si>
  <si>
    <t>10195971000</t>
  </si>
  <si>
    <t>Angri</t>
  </si>
  <si>
    <t>10195971001</t>
  </si>
  <si>
    <t>Scafati</t>
  </si>
  <si>
    <t>10195976000</t>
  </si>
  <si>
    <t>San Marzano sul Sarno</t>
  </si>
  <si>
    <t>10195977002</t>
  </si>
  <si>
    <t>Trecase</t>
  </si>
  <si>
    <t>10195976001</t>
  </si>
  <si>
    <t>Sarno</t>
  </si>
  <si>
    <t>5008</t>
  </si>
  <si>
    <t>Napoli - 73</t>
  </si>
  <si>
    <t>10195978002</t>
  </si>
  <si>
    <t>San Giorgio a Cremano</t>
  </si>
  <si>
    <t>10196018000</t>
  </si>
  <si>
    <t>Casalnuovo di Napoli</t>
  </si>
  <si>
    <t>10196062001</t>
  </si>
  <si>
    <t>Sant'Antimo</t>
  </si>
  <si>
    <t>10196018002</t>
  </si>
  <si>
    <t>Volla</t>
  </si>
  <si>
    <t>10196018003</t>
  </si>
  <si>
    <t>Cercola</t>
  </si>
  <si>
    <t>10195986000</t>
  </si>
  <si>
    <t>San Michele di Serino</t>
  </si>
  <si>
    <t>10195986001</t>
  </si>
  <si>
    <t>Montoro Inferiore</t>
  </si>
  <si>
    <t>10195986002</t>
  </si>
  <si>
    <t>Montoro Superiore</t>
  </si>
  <si>
    <t>10195986003</t>
  </si>
  <si>
    <t>Solofra</t>
  </si>
  <si>
    <t>10195990002</t>
  </si>
  <si>
    <t>Chianche</t>
  </si>
  <si>
    <t>10195990001</t>
  </si>
  <si>
    <t>Torrioni</t>
  </si>
  <si>
    <t>10196013003</t>
  </si>
  <si>
    <t>Cimitile</t>
  </si>
  <si>
    <t>10195869000</t>
  </si>
  <si>
    <t>Aversa</t>
  </si>
  <si>
    <t>10195957000</t>
  </si>
  <si>
    <t>Piano di Sorrento</t>
  </si>
  <si>
    <t>10195869001</t>
  </si>
  <si>
    <t>Cesa</t>
  </si>
  <si>
    <t>10195869002</t>
  </si>
  <si>
    <t>Casal di Principe</t>
  </si>
  <si>
    <t>10195869003</t>
  </si>
  <si>
    <t>Carinaro</t>
  </si>
  <si>
    <t>10195869005</t>
  </si>
  <si>
    <t>Casaluce</t>
  </si>
  <si>
    <t>10195871002</t>
  </si>
  <si>
    <t>San Tammaro</t>
  </si>
  <si>
    <t>10195881000</t>
  </si>
  <si>
    <t>Casagiove</t>
  </si>
  <si>
    <t>10195881001</t>
  </si>
  <si>
    <t>Santa Maria Capua Vetere</t>
  </si>
  <si>
    <t>5029</t>
  </si>
  <si>
    <t>Napoli - 29</t>
  </si>
  <si>
    <t>10196032001</t>
  </si>
  <si>
    <t>Afragola</t>
  </si>
  <si>
    <t>10195855001</t>
  </si>
  <si>
    <t>Sparanise</t>
  </si>
  <si>
    <t>10195855002</t>
  </si>
  <si>
    <t>Formicola</t>
  </si>
  <si>
    <t>10195942000</t>
  </si>
  <si>
    <t>Durazzano</t>
  </si>
  <si>
    <t>10195942001</t>
  </si>
  <si>
    <t>Bonea</t>
  </si>
  <si>
    <t>10195907001</t>
  </si>
  <si>
    <t>Casal Velino</t>
  </si>
  <si>
    <t>10195907002</t>
  </si>
  <si>
    <t>Gioi</t>
  </si>
  <si>
    <t>10195907003</t>
  </si>
  <si>
    <t>Monteforte Cilento</t>
  </si>
  <si>
    <t>10195889000</t>
  </si>
  <si>
    <t>Marcianise</t>
  </si>
  <si>
    <t>10196018004</t>
  </si>
  <si>
    <t>Pollena Trocchia</t>
  </si>
  <si>
    <t>10195890001</t>
  </si>
  <si>
    <t>Santa Maria a Vico</t>
  </si>
  <si>
    <t>10195936002</t>
  </si>
  <si>
    <t>Ceppaloni</t>
  </si>
  <si>
    <t>10195936003</t>
  </si>
  <si>
    <t>Apollosa</t>
  </si>
  <si>
    <t>10195891001</t>
  </si>
  <si>
    <t>Villa Literno</t>
  </si>
  <si>
    <t>10195897001</t>
  </si>
  <si>
    <t>Romagnano al Monte</t>
  </si>
  <si>
    <t>10195846001</t>
  </si>
  <si>
    <t>Alife</t>
  </si>
  <si>
    <t>10195846002</t>
  </si>
  <si>
    <t>Capriati a Volturno</t>
  </si>
  <si>
    <t>10195846003</t>
  </si>
  <si>
    <t>Ailano</t>
  </si>
  <si>
    <t>10195846004</t>
  </si>
  <si>
    <t>Castello del Matese</t>
  </si>
  <si>
    <t>10195847001</t>
  </si>
  <si>
    <t>Caiazzo</t>
  </si>
  <si>
    <t>10195847002</t>
  </si>
  <si>
    <t>Alvignano</t>
  </si>
  <si>
    <t>10195853000</t>
  </si>
  <si>
    <t>Roccamonfina</t>
  </si>
  <si>
    <t>10195853001</t>
  </si>
  <si>
    <t>Presenzano</t>
  </si>
  <si>
    <t>10195853002</t>
  </si>
  <si>
    <t>Calvi Risorta</t>
  </si>
  <si>
    <t>10195853003</t>
  </si>
  <si>
    <t>Riardo</t>
  </si>
  <si>
    <t>10195854001</t>
  </si>
  <si>
    <t>Rocca d'Evandro</t>
  </si>
  <si>
    <t>10195854002</t>
  </si>
  <si>
    <t>Mignano Monte Lungo</t>
  </si>
  <si>
    <t>10195855000</t>
  </si>
  <si>
    <t>Pontelatone</t>
  </si>
  <si>
    <t>10195910000</t>
  </si>
  <si>
    <t>Controne</t>
  </si>
  <si>
    <t>10195871001</t>
  </si>
  <si>
    <t>Grazzanise</t>
  </si>
  <si>
    <t>10195890000</t>
  </si>
  <si>
    <t>Maddaloni</t>
  </si>
  <si>
    <t>10195891000</t>
  </si>
  <si>
    <t>Mondragone</t>
  </si>
  <si>
    <t>10195892000</t>
  </si>
  <si>
    <t>Sessa Aurunca</t>
  </si>
  <si>
    <t>10195892001</t>
  </si>
  <si>
    <t>Carinola</t>
  </si>
  <si>
    <t>10195893001</t>
  </si>
  <si>
    <t>Lacedonia</t>
  </si>
  <si>
    <t>10195893002</t>
  </si>
  <si>
    <t>Monteverde</t>
  </si>
  <si>
    <t>10195894001</t>
  </si>
  <si>
    <t>Conza della Campania</t>
  </si>
  <si>
    <t>10195894002</t>
  </si>
  <si>
    <t>Calitri</t>
  </si>
  <si>
    <t>10195895000</t>
  </si>
  <si>
    <t>Rocca San Felice</t>
  </si>
  <si>
    <t>10195896001</t>
  </si>
  <si>
    <t>Lioni</t>
  </si>
  <si>
    <t>10195896002</t>
  </si>
  <si>
    <t>Calabritto</t>
  </si>
  <si>
    <t>10195897000</t>
  </si>
  <si>
    <t>Palomonte</t>
  </si>
  <si>
    <t>10195897002</t>
  </si>
  <si>
    <t>Ricigliano</t>
  </si>
  <si>
    <t>10195897003</t>
  </si>
  <si>
    <t>Buccino</t>
  </si>
  <si>
    <t>10195899001</t>
  </si>
  <si>
    <t>Valva</t>
  </si>
  <si>
    <t>10195907000</t>
  </si>
  <si>
    <t>Lustra</t>
  </si>
  <si>
    <t>10195924000</t>
  </si>
  <si>
    <t>Campolattaro</t>
  </si>
  <si>
    <t>10195931002</t>
  </si>
  <si>
    <t>Castelvenere</t>
  </si>
  <si>
    <t>10195931003</t>
  </si>
  <si>
    <t>Cusano Mutri</t>
  </si>
  <si>
    <t>10195942003</t>
  </si>
  <si>
    <t>Sant'Agata de' Goti</t>
  </si>
  <si>
    <t>10195943001</t>
  </si>
  <si>
    <t>Montella</t>
  </si>
  <si>
    <t>10195943002</t>
  </si>
  <si>
    <t>Montemarano</t>
  </si>
  <si>
    <t>10195944001</t>
  </si>
  <si>
    <t>Lapio</t>
  </si>
  <si>
    <t>10195944002</t>
  </si>
  <si>
    <t>Chiusano di San Domenico</t>
  </si>
  <si>
    <t>10195945000</t>
  </si>
  <si>
    <t>Vietri sul Mare</t>
  </si>
  <si>
    <t>10195958003</t>
  </si>
  <si>
    <t>Castellammare di Stabia</t>
  </si>
  <si>
    <t>10195959001</t>
  </si>
  <si>
    <t>Torre Annunziata</t>
  </si>
  <si>
    <t>10195969000</t>
  </si>
  <si>
    <t>Ravello</t>
  </si>
  <si>
    <t>10195969001</t>
  </si>
  <si>
    <t>Amalfi</t>
  </si>
  <si>
    <t>10195970000</t>
  </si>
  <si>
    <t>Bracigliano</t>
  </si>
  <si>
    <t>10195899002</t>
  </si>
  <si>
    <t>Castelnuovo di Conza</t>
  </si>
  <si>
    <t>10195899003</t>
  </si>
  <si>
    <t>Postiglione</t>
  </si>
  <si>
    <t>10195900000</t>
  </si>
  <si>
    <t>Altavilla Silentina</t>
  </si>
  <si>
    <t>10195900001</t>
  </si>
  <si>
    <t>Eboli</t>
  </si>
  <si>
    <t>10195900002</t>
  </si>
  <si>
    <t>Battipaglia</t>
  </si>
  <si>
    <t>10195901001</t>
  </si>
  <si>
    <t>Morigerati</t>
  </si>
  <si>
    <t>10195901002</t>
  </si>
  <si>
    <t>Casaletto Spartano</t>
  </si>
  <si>
    <t>10195901003</t>
  </si>
  <si>
    <t>Monte San Giacomo</t>
  </si>
  <si>
    <t>10195902001</t>
  </si>
  <si>
    <t>Auletta</t>
  </si>
  <si>
    <t>10195902002</t>
  </si>
  <si>
    <t>Ottati</t>
  </si>
  <si>
    <t>10195902003</t>
  </si>
  <si>
    <t>Atena Lucana</t>
  </si>
  <si>
    <t>10195903000</t>
  </si>
  <si>
    <t>Torraca</t>
  </si>
  <si>
    <t>10195903001</t>
  </si>
  <si>
    <t>Ispani</t>
  </si>
  <si>
    <t>10195903002</t>
  </si>
  <si>
    <t>Torre Orsaia</t>
  </si>
  <si>
    <t>10195904000</t>
  </si>
  <si>
    <t>Celle di Bulgheria</t>
  </si>
  <si>
    <t>10195904001</t>
  </si>
  <si>
    <t>Pisciotta</t>
  </si>
  <si>
    <t>10195904002</t>
  </si>
  <si>
    <t>Camerota</t>
  </si>
  <si>
    <t>10195905001</t>
  </si>
  <si>
    <t>Ascea</t>
  </si>
  <si>
    <t>10195977000</t>
  </si>
  <si>
    <t>Torre del Greco</t>
  </si>
  <si>
    <t>10195986004</t>
  </si>
  <si>
    <t>Serino</t>
  </si>
  <si>
    <t>10195989000</t>
  </si>
  <si>
    <t>Montefredane</t>
  </si>
  <si>
    <t>10195989001</t>
  </si>
  <si>
    <t>Montefalcione</t>
  </si>
  <si>
    <t>10195990000</t>
  </si>
  <si>
    <t>Grottolella</t>
  </si>
  <si>
    <t>10196013001</t>
  </si>
  <si>
    <t>Visciano</t>
  </si>
  <si>
    <t>10196046002</t>
  </si>
  <si>
    <t>Casoria</t>
  </si>
  <si>
    <t>10196074000</t>
  </si>
  <si>
    <t>Mugnano di Napoli</t>
  </si>
  <si>
    <t>10196074001</t>
  </si>
  <si>
    <t>Giugliano in Campania</t>
  </si>
  <si>
    <t>10196078001</t>
  </si>
  <si>
    <t>Bacoli</t>
  </si>
  <si>
    <t>10196078003</t>
  </si>
  <si>
    <t>Pozzuoli</t>
  </si>
  <si>
    <t>5016</t>
  </si>
  <si>
    <t>Napoli - 67</t>
  </si>
  <si>
    <t>5031</t>
  </si>
  <si>
    <t>Napoli - 31</t>
  </si>
  <si>
    <t>5033</t>
  </si>
  <si>
    <t>Napoli - 33</t>
  </si>
  <si>
    <t>5044</t>
  </si>
  <si>
    <t>Napoli - 45</t>
  </si>
  <si>
    <t>5055</t>
  </si>
  <si>
    <t>Napoli - 55</t>
  </si>
  <si>
    <t>10195905002</t>
  </si>
  <si>
    <t>Vallo della Lucania</t>
  </si>
  <si>
    <t>10195905003</t>
  </si>
  <si>
    <t>Campora</t>
  </si>
  <si>
    <t>10195907004</t>
  </si>
  <si>
    <t>Agropoli</t>
  </si>
  <si>
    <t>10195910001</t>
  </si>
  <si>
    <t>Felitto</t>
  </si>
  <si>
    <t>10195910002</t>
  </si>
  <si>
    <t>Albanella</t>
  </si>
  <si>
    <t>10195910003</t>
  </si>
  <si>
    <t>Aquara</t>
  </si>
  <si>
    <t>10195912000</t>
  </si>
  <si>
    <t>Castelfranco in Miscano</t>
  </si>
  <si>
    <t>10195913000</t>
  </si>
  <si>
    <t>Castelpagano</t>
  </si>
  <si>
    <t>10195914001</t>
  </si>
  <si>
    <t>Buonalbergo</t>
  </si>
  <si>
    <t>10195914002</t>
  </si>
  <si>
    <t>Fragneto l'Abate</t>
  </si>
  <si>
    <t>10195931000</t>
  </si>
  <si>
    <t>Faicchio</t>
  </si>
  <si>
    <t>10195936001</t>
  </si>
  <si>
    <t>Apice</t>
  </si>
  <si>
    <t>10195957004</t>
  </si>
  <si>
    <t>Vico Equense</t>
  </si>
  <si>
    <t>10195932000</t>
  </si>
  <si>
    <t>Zungoli</t>
  </si>
  <si>
    <t>10195932002</t>
  </si>
  <si>
    <t>Greci</t>
  </si>
  <si>
    <t>10195933001</t>
  </si>
  <si>
    <t>Flumeri</t>
  </si>
  <si>
    <t>10195978000</t>
  </si>
  <si>
    <t>Ercolano</t>
  </si>
  <si>
    <t>10195991000</t>
  </si>
  <si>
    <t>Mercogliano</t>
  </si>
  <si>
    <t>5059</t>
  </si>
  <si>
    <t>Napoli - 59</t>
  </si>
  <si>
    <t>5061</t>
  </si>
  <si>
    <t>Napoli - 63</t>
  </si>
  <si>
    <t>5071</t>
  </si>
  <si>
    <t>Napoli - 71</t>
  </si>
  <si>
    <t>10195925000</t>
  </si>
  <si>
    <t>Guardia Sanframondi</t>
  </si>
  <si>
    <t>10195926001</t>
  </si>
  <si>
    <t>Casalduni</t>
  </si>
  <si>
    <t>10195934001</t>
  </si>
  <si>
    <t>Castel Baronia</t>
  </si>
  <si>
    <t>10195936000</t>
  </si>
  <si>
    <t>San Martino Sannita</t>
  </si>
  <si>
    <t>10195991002</t>
  </si>
  <si>
    <t>Contrada</t>
  </si>
  <si>
    <t>10196018001</t>
  </si>
  <si>
    <t>Sant'Anastasia</t>
  </si>
  <si>
    <t>rank</t>
  </si>
  <si>
    <t>tourism</t>
  </si>
  <si>
    <t>historic</t>
  </si>
  <si>
    <t>accommodation</t>
  </si>
  <si>
    <t>transport</t>
  </si>
  <si>
    <t>food_removed_count</t>
  </si>
  <si>
    <t>other_excluded_count</t>
  </si>
  <si>
    <t>item</t>
  </si>
  <si>
    <t>value</t>
  </si>
  <si>
    <t>note</t>
  </si>
  <si>
    <t>source_zone_rows</t>
  </si>
  <si>
    <t>Zones.csv 中 NO=1–222 的有效内部区</t>
  </si>
  <si>
    <t>source_geojson_features</t>
  </si>
  <si>
    <t>export.geojson 中全部 POI feature 数</t>
  </si>
  <si>
    <t>amenity=restaurant/cafe/bar/fast_food/pub，已从主统计剔除</t>
  </si>
  <si>
    <t>不属于旅游/历史/住宿/交通的其他对象，未纳入主统计</t>
  </si>
  <si>
    <t>counted_POI_no_food</t>
  </si>
  <si>
    <t>纳入主统计的 POI 总数</t>
  </si>
  <si>
    <t>tourism=*，但不含住宿类 tourism=hotel/hostel 等</t>
  </si>
  <si>
    <t>historic=*</t>
  </si>
  <si>
    <t>tourism=hotel/hostel/guest_house/apartment/camp_site 等</t>
  </si>
  <si>
    <t>railway=station / ferry_terminal / aerodrome 等</t>
  </si>
  <si>
    <t>assignment_method</t>
  </si>
  <si>
    <t>nearest centroid</t>
  </si>
  <si>
    <t>POI 分配到最近的区域中心点 zone centroid；不是 point-in-polygon</t>
  </si>
  <si>
    <t>main_score_formula</t>
  </si>
  <si>
    <t>3*tourism + 3*historic + 2*accommodation + 2*transport</t>
  </si>
  <si>
    <t>餐饮不参与 attraction_score</t>
  </si>
  <si>
    <t>category</t>
  </si>
  <si>
    <t>included OSM tags</t>
  </si>
  <si>
    <t>treatment</t>
  </si>
  <si>
    <t>tourism=* except accommodation values</t>
  </si>
  <si>
    <t>纳入主统计；主分类唯一计数</t>
  </si>
  <si>
    <t>纳入主统计；若同一 POI 同时有 historic 和 tourism，优先归为 historic</t>
  </si>
  <si>
    <t>tourism=hotel/hostel/guest_house/apartment/camp_site/motel/chalet/alpine_hut</t>
  </si>
  <si>
    <t>纳入主统计</t>
  </si>
  <si>
    <t>railway=station / amenity=ferry_terminal / aeroway=aerodrome / public_transport=station</t>
  </si>
  <si>
    <t>total_POI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</si>
</sst>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1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total_POI_no_food</c:v>
          </c:tx>
          <c:invertIfNegative val="1"/>
          <c:cat>
            <c:strRef>
              <c:f>Top15区域!$C$2:$C$16</c:f>
              <c:strCache>
                <c:ptCount val="15"/>
                <c:pt idx="0">
                  <c:v>Pompei</c:v>
                </c:pt>
                <c:pt idx="1">
                  <c:v>Piano di Sorrento</c:v>
                </c:pt>
                <c:pt idx="2">
                  <c:v>Napoli - 67</c:v>
                </c:pt>
                <c:pt idx="3">
                  <c:v>Campolattaro</c:v>
                </c:pt>
                <c:pt idx="4">
                  <c:v>Napoli - 11</c:v>
                </c:pt>
                <c:pt idx="5">
                  <c:v>Napoli - 71</c:v>
                </c:pt>
                <c:pt idx="6">
                  <c:v>Napoli - 39</c:v>
                </c:pt>
                <c:pt idx="7">
                  <c:v>Ravello</c:v>
                </c:pt>
                <c:pt idx="8">
                  <c:v>Vico Equense</c:v>
                </c:pt>
                <c:pt idx="9">
                  <c:v>Barano d'Ischia</c:v>
                </c:pt>
                <c:pt idx="10">
                  <c:v>Agropoli</c:v>
                </c:pt>
                <c:pt idx="11">
                  <c:v>Amalfi</c:v>
                </c:pt>
                <c:pt idx="12">
                  <c:v>Caserta</c:v>
                </c:pt>
                <c:pt idx="13">
                  <c:v>Albanella</c:v>
                </c:pt>
                <c:pt idx="14">
                  <c:v>Boscoreale</c:v>
                </c:pt>
              </c:strCache>
            </c:strRef>
          </c:cat>
          <c:val>
            <c:numRef>
              <c:f>Top15区域!$D$2:$D$16</c:f>
              <c:numCache>
                <c:formatCode>0</c:formatCode>
                <c:ptCount val="15"/>
                <c:pt idx="0">
                  <c:v>1127</c:v>
                </c:pt>
                <c:pt idx="1">
                  <c:v>584</c:v>
                </c:pt>
                <c:pt idx="2">
                  <c:v>442</c:v>
                </c:pt>
                <c:pt idx="3">
                  <c:v>330</c:v>
                </c:pt>
                <c:pt idx="4">
                  <c:v>324</c:v>
                </c:pt>
                <c:pt idx="5">
                  <c:v>289</c:v>
                </c:pt>
                <c:pt idx="6">
                  <c:v>282</c:v>
                </c:pt>
                <c:pt idx="7">
                  <c:v>260</c:v>
                </c:pt>
                <c:pt idx="8">
                  <c:v>244</c:v>
                </c:pt>
                <c:pt idx="9">
                  <c:v>228</c:v>
                </c:pt>
                <c:pt idx="10">
                  <c:v>217</c:v>
                </c:pt>
                <c:pt idx="11">
                  <c:v>212</c:v>
                </c:pt>
                <c:pt idx="12">
                  <c:v>209</c:v>
                </c:pt>
                <c:pt idx="13">
                  <c:v>198</c:v>
                </c:pt>
                <c:pt idx="14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5-4512-889B-5F6A424F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POIStats" displayName="ZonePOIStats" ref="A1:L223">
  <tableColumns count="12">
    <tableColumn id="1" xr3:uid="{00000000-0010-0000-0000-000001000000}" name="zone_NO"/>
    <tableColumn id="2" xr3:uid="{00000000-0010-0000-0000-000002000000}" name="AREA_ID"/>
    <tableColumn id="3" xr3:uid="{00000000-0010-0000-0000-000003000000}" name="ORIGIN"/>
    <tableColumn id="4" xr3:uid="{00000000-0010-0000-0000-000004000000}" name="ZONE_NAME"/>
    <tableColumn id="5" xr3:uid="{00000000-0010-0000-0000-000005000000}" name="LAT"/>
    <tableColumn id="6" xr3:uid="{00000000-0010-0000-0000-000006000000}" name="LON"/>
    <tableColumn id="7" xr3:uid="{00000000-0010-0000-0000-000007000000}" name="tourism_count"/>
    <tableColumn id="8" xr3:uid="{00000000-0010-0000-0000-000008000000}" name="historic_count"/>
    <tableColumn id="9" xr3:uid="{00000000-0010-0000-0000-000009000000}" name="accommodation_count"/>
    <tableColumn id="10" xr3:uid="{00000000-0010-0000-0000-00000A000000}" name="transport_count"/>
    <tableColumn id="11" xr3:uid="{00000000-0010-0000-0000-00000B000000}" name="total_POI"/>
    <tableColumn id="12" xr3:uid="{00000000-0010-0000-0000-00000C000000}" name="attraction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15Zones" displayName="Top15Zones" ref="A1:I16">
  <tableColumns count="9">
    <tableColumn id="1" xr3:uid="{00000000-0010-0000-0100-000001000000}" name="rank"/>
    <tableColumn id="2" xr3:uid="{00000000-0010-0000-0100-000002000000}" name="zone_NO"/>
    <tableColumn id="3" xr3:uid="{00000000-0010-0000-0100-000003000000}" name="ZONE_NAME"/>
    <tableColumn id="4" xr3:uid="{00000000-0010-0000-0100-000004000000}" name="total_POI_no_food"/>
    <tableColumn id="5" xr3:uid="{00000000-0010-0000-0100-000005000000}" name="tourism"/>
    <tableColumn id="6" xr3:uid="{00000000-0010-0000-0100-000006000000}" name="historic"/>
    <tableColumn id="7" xr3:uid="{00000000-0010-0000-0100-000007000000}" name="accommodation"/>
    <tableColumn id="8" xr3:uid="{00000000-0010-0000-0100-000008000000}" name="transport"/>
    <tableColumn id="9" xr3:uid="{00000000-0010-0000-0100-000009000000}" name="attraction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mmaryInfo" displayName="SummaryInfo" ref="A1:C12">
  <tableColumns count="3">
    <tableColumn id="1" xr3:uid="{00000000-0010-0000-0300-000001000000}" name="item"/>
    <tableColumn id="2" xr3:uid="{00000000-0010-0000-0300-000002000000}" name="value"/>
    <tableColumn id="3" xr3:uid="{00000000-0010-0000-0300-000003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yRules" displayName="CategoryRules" ref="A15:C21">
  <tableColumns count="3">
    <tableColumn id="1" xr3:uid="{00000000-0010-0000-0400-000001000000}" name="category"/>
    <tableColumn id="2" xr3:uid="{00000000-0010-0000-0400-000002000000}" name="included OSM tags"/>
    <tableColumn id="3" xr3:uid="{00000000-0010-0000-0400-000003000000}" name="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"/>
  <sheetViews>
    <sheetView tabSelected="1" workbookViewId="0">
      <selection activeCell="O12" sqref="O12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24" customWidth="1"/>
    <col min="5" max="6" width="12" customWidth="1"/>
    <col min="7" max="12" width="18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496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s="3">
        <v>40.847020999999998</v>
      </c>
      <c r="F2" s="3">
        <v>14.267001</v>
      </c>
      <c r="G2" s="4">
        <v>57</v>
      </c>
      <c r="H2" s="4">
        <v>74</v>
      </c>
      <c r="I2" s="4">
        <v>178</v>
      </c>
      <c r="J2" s="4">
        <v>15</v>
      </c>
      <c r="K2" s="4">
        <f t="shared" ref="K2:K65" si="0">SUM(G2:J2)</f>
        <v>324</v>
      </c>
      <c r="L2" s="4">
        <f t="shared" ref="L2:L65" si="1">3*G2+3*H2+2*I2+2*J2</f>
        <v>779</v>
      </c>
    </row>
    <row r="3" spans="1:12">
      <c r="A3">
        <v>2</v>
      </c>
      <c r="B3" t="s">
        <v>15</v>
      </c>
      <c r="C3" t="s">
        <v>13</v>
      </c>
      <c r="D3" t="s">
        <v>16</v>
      </c>
      <c r="E3" s="3">
        <v>40.825530000000001</v>
      </c>
      <c r="F3" s="3">
        <v>14.199192999999999</v>
      </c>
      <c r="G3" s="4">
        <v>1</v>
      </c>
      <c r="H3" s="4">
        <v>2</v>
      </c>
      <c r="I3" s="4">
        <v>8</v>
      </c>
      <c r="J3" s="4">
        <v>7</v>
      </c>
      <c r="K3" s="4">
        <f t="shared" si="0"/>
        <v>18</v>
      </c>
      <c r="L3" s="4">
        <f t="shared" si="1"/>
        <v>39</v>
      </c>
    </row>
    <row r="4" spans="1:12">
      <c r="A4">
        <v>3</v>
      </c>
      <c r="B4" t="s">
        <v>17</v>
      </c>
      <c r="C4" t="s">
        <v>13</v>
      </c>
      <c r="D4" t="s">
        <v>18</v>
      </c>
      <c r="E4" s="3">
        <v>40.836807</v>
      </c>
      <c r="F4" s="3">
        <v>14.237118000000001</v>
      </c>
      <c r="G4" s="4">
        <v>92</v>
      </c>
      <c r="H4" s="4">
        <v>108</v>
      </c>
      <c r="I4" s="4">
        <v>68</v>
      </c>
      <c r="J4" s="4">
        <v>14</v>
      </c>
      <c r="K4" s="4">
        <f t="shared" si="0"/>
        <v>282</v>
      </c>
      <c r="L4" s="4">
        <f t="shared" si="1"/>
        <v>764</v>
      </c>
    </row>
    <row r="5" spans="1:12">
      <c r="A5">
        <v>4</v>
      </c>
      <c r="B5" t="s">
        <v>19</v>
      </c>
      <c r="C5" t="s">
        <v>13</v>
      </c>
      <c r="D5" t="s">
        <v>20</v>
      </c>
      <c r="E5" s="3">
        <v>40.835614</v>
      </c>
      <c r="F5" s="3">
        <v>14.305578000000001</v>
      </c>
      <c r="G5" s="4">
        <v>3</v>
      </c>
      <c r="H5" s="4">
        <v>6</v>
      </c>
      <c r="I5" s="4">
        <v>0</v>
      </c>
      <c r="J5" s="4">
        <v>2</v>
      </c>
      <c r="K5" s="4">
        <f t="shared" si="0"/>
        <v>11</v>
      </c>
      <c r="L5" s="4">
        <f t="shared" si="1"/>
        <v>31</v>
      </c>
    </row>
    <row r="6" spans="1:12">
      <c r="A6">
        <v>5</v>
      </c>
      <c r="B6" t="s">
        <v>21</v>
      </c>
      <c r="C6" t="s">
        <v>22</v>
      </c>
      <c r="D6" t="s">
        <v>23</v>
      </c>
      <c r="E6" s="3">
        <v>40.908493999999997</v>
      </c>
      <c r="F6" s="3">
        <v>14.386996999999999</v>
      </c>
      <c r="G6" s="4">
        <v>3</v>
      </c>
      <c r="H6" s="4">
        <v>4</v>
      </c>
      <c r="I6" s="4">
        <v>0</v>
      </c>
      <c r="J6" s="4">
        <v>3</v>
      </c>
      <c r="K6" s="4">
        <f t="shared" si="0"/>
        <v>10</v>
      </c>
      <c r="L6" s="4">
        <f t="shared" si="1"/>
        <v>27</v>
      </c>
    </row>
    <row r="7" spans="1:12">
      <c r="A7">
        <v>6</v>
      </c>
      <c r="B7" t="s">
        <v>24</v>
      </c>
      <c r="C7" t="s">
        <v>22</v>
      </c>
      <c r="D7" t="s">
        <v>25</v>
      </c>
      <c r="E7" s="3">
        <v>41.216695999999999</v>
      </c>
      <c r="F7" s="3">
        <v>14.860188000000001</v>
      </c>
      <c r="G7" s="4">
        <v>10</v>
      </c>
      <c r="H7" s="4">
        <v>7</v>
      </c>
      <c r="I7" s="4">
        <v>4</v>
      </c>
      <c r="J7" s="4">
        <v>2</v>
      </c>
      <c r="K7" s="4">
        <f t="shared" si="0"/>
        <v>23</v>
      </c>
      <c r="L7" s="4">
        <f t="shared" si="1"/>
        <v>63</v>
      </c>
    </row>
    <row r="8" spans="1:12">
      <c r="A8">
        <v>7</v>
      </c>
      <c r="B8" t="s">
        <v>26</v>
      </c>
      <c r="C8" t="s">
        <v>13</v>
      </c>
      <c r="D8" t="s">
        <v>27</v>
      </c>
      <c r="E8" s="3">
        <v>40.807671999999997</v>
      </c>
      <c r="F8" s="3">
        <v>14.197801</v>
      </c>
      <c r="G8" s="4">
        <v>34</v>
      </c>
      <c r="H8" s="4">
        <v>32</v>
      </c>
      <c r="I8" s="4">
        <v>1</v>
      </c>
      <c r="J8" s="4">
        <v>0</v>
      </c>
      <c r="K8" s="4">
        <f t="shared" si="0"/>
        <v>67</v>
      </c>
      <c r="L8" s="4">
        <f t="shared" si="1"/>
        <v>200</v>
      </c>
    </row>
    <row r="9" spans="1:12">
      <c r="A9">
        <v>8</v>
      </c>
      <c r="B9" t="s">
        <v>28</v>
      </c>
      <c r="C9" t="s">
        <v>22</v>
      </c>
      <c r="D9" t="s">
        <v>29</v>
      </c>
      <c r="E9" s="3">
        <v>41.163797000000002</v>
      </c>
      <c r="F9" s="3">
        <v>14.634318</v>
      </c>
      <c r="G9" s="4">
        <v>40</v>
      </c>
      <c r="H9" s="4">
        <v>16</v>
      </c>
      <c r="I9" s="4">
        <v>2</v>
      </c>
      <c r="J9" s="4">
        <v>0</v>
      </c>
      <c r="K9" s="4">
        <f t="shared" si="0"/>
        <v>58</v>
      </c>
      <c r="L9" s="4">
        <f t="shared" si="1"/>
        <v>172</v>
      </c>
    </row>
    <row r="10" spans="1:12">
      <c r="A10">
        <v>9</v>
      </c>
      <c r="B10" t="s">
        <v>30</v>
      </c>
      <c r="C10" t="s">
        <v>22</v>
      </c>
      <c r="D10" t="s">
        <v>31</v>
      </c>
      <c r="E10" s="3">
        <v>41.182532000000002</v>
      </c>
      <c r="F10" s="3">
        <v>14.482799</v>
      </c>
      <c r="G10" s="4">
        <v>4</v>
      </c>
      <c r="H10" s="4">
        <v>3</v>
      </c>
      <c r="I10" s="4">
        <v>4</v>
      </c>
      <c r="J10" s="4">
        <v>1</v>
      </c>
      <c r="K10" s="4">
        <f t="shared" si="0"/>
        <v>12</v>
      </c>
      <c r="L10" s="4">
        <f t="shared" si="1"/>
        <v>31</v>
      </c>
    </row>
    <row r="11" spans="1:12">
      <c r="A11">
        <v>10</v>
      </c>
      <c r="B11" t="s">
        <v>32</v>
      </c>
      <c r="C11" t="s">
        <v>13</v>
      </c>
      <c r="D11" t="s">
        <v>33</v>
      </c>
      <c r="E11" s="3">
        <v>40.826028999999998</v>
      </c>
      <c r="F11" s="3">
        <v>14.170715</v>
      </c>
      <c r="G11" s="4">
        <v>20</v>
      </c>
      <c r="H11" s="4">
        <v>10</v>
      </c>
      <c r="I11" s="4">
        <v>19</v>
      </c>
      <c r="J11" s="4">
        <v>4</v>
      </c>
      <c r="K11" s="4">
        <f t="shared" si="0"/>
        <v>53</v>
      </c>
      <c r="L11" s="4">
        <f t="shared" si="1"/>
        <v>136</v>
      </c>
    </row>
    <row r="12" spans="1:12">
      <c r="A12">
        <v>11</v>
      </c>
      <c r="B12" t="s">
        <v>34</v>
      </c>
      <c r="C12" t="s">
        <v>22</v>
      </c>
      <c r="D12" t="s">
        <v>35</v>
      </c>
      <c r="E12" s="3">
        <v>41.047350000000002</v>
      </c>
      <c r="F12" s="3">
        <v>14.912219</v>
      </c>
      <c r="G12" s="4">
        <v>2</v>
      </c>
      <c r="H12" s="4">
        <v>6</v>
      </c>
      <c r="I12" s="4">
        <v>1</v>
      </c>
      <c r="J12" s="4">
        <v>0</v>
      </c>
      <c r="K12" s="4">
        <f t="shared" si="0"/>
        <v>9</v>
      </c>
      <c r="L12" s="4">
        <f t="shared" si="1"/>
        <v>26</v>
      </c>
    </row>
    <row r="13" spans="1:12">
      <c r="A13">
        <v>12</v>
      </c>
      <c r="B13" t="s">
        <v>36</v>
      </c>
      <c r="C13" t="s">
        <v>22</v>
      </c>
      <c r="D13" t="s">
        <v>37</v>
      </c>
      <c r="E13" s="3">
        <v>41.012340999999999</v>
      </c>
      <c r="F13" s="3">
        <v>15.106415</v>
      </c>
      <c r="G13" s="4">
        <v>6</v>
      </c>
      <c r="H13" s="4">
        <v>14</v>
      </c>
      <c r="I13" s="4">
        <v>1</v>
      </c>
      <c r="J13" s="4">
        <v>1</v>
      </c>
      <c r="K13" s="4">
        <f t="shared" si="0"/>
        <v>22</v>
      </c>
      <c r="L13" s="4">
        <f t="shared" si="1"/>
        <v>64</v>
      </c>
    </row>
    <row r="14" spans="1:12">
      <c r="A14">
        <v>13</v>
      </c>
      <c r="B14" t="s">
        <v>38</v>
      </c>
      <c r="C14" t="s">
        <v>13</v>
      </c>
      <c r="D14" t="s">
        <v>39</v>
      </c>
      <c r="E14" s="3">
        <v>40.880538000000001</v>
      </c>
      <c r="F14" s="3">
        <v>14.210696</v>
      </c>
      <c r="G14" s="4">
        <v>3</v>
      </c>
      <c r="H14" s="4">
        <v>3</v>
      </c>
      <c r="I14" s="4">
        <v>1</v>
      </c>
      <c r="J14" s="4">
        <v>0</v>
      </c>
      <c r="K14" s="4">
        <f t="shared" si="0"/>
        <v>7</v>
      </c>
      <c r="L14" s="4">
        <f t="shared" si="1"/>
        <v>20</v>
      </c>
    </row>
    <row r="15" spans="1:12">
      <c r="A15">
        <v>14</v>
      </c>
      <c r="B15" t="s">
        <v>40</v>
      </c>
      <c r="C15" t="s">
        <v>13</v>
      </c>
      <c r="D15" t="s">
        <v>41</v>
      </c>
      <c r="E15" s="3">
        <v>40.896783999999997</v>
      </c>
      <c r="F15" s="3">
        <v>14.251170999999999</v>
      </c>
      <c r="G15" s="4">
        <v>12</v>
      </c>
      <c r="H15" s="4">
        <v>5</v>
      </c>
      <c r="I15" s="4">
        <v>2</v>
      </c>
      <c r="J15" s="4">
        <v>2</v>
      </c>
      <c r="K15" s="4">
        <f t="shared" si="0"/>
        <v>21</v>
      </c>
      <c r="L15" s="4">
        <f t="shared" si="1"/>
        <v>59</v>
      </c>
    </row>
    <row r="16" spans="1:12">
      <c r="A16">
        <v>15</v>
      </c>
      <c r="B16" t="s">
        <v>42</v>
      </c>
      <c r="C16" t="s">
        <v>22</v>
      </c>
      <c r="D16" t="s">
        <v>43</v>
      </c>
      <c r="E16" s="3">
        <v>40.816727</v>
      </c>
      <c r="F16" s="3">
        <v>14.57109</v>
      </c>
      <c r="G16" s="4">
        <v>1</v>
      </c>
      <c r="H16" s="4">
        <v>0</v>
      </c>
      <c r="I16" s="4">
        <v>1</v>
      </c>
      <c r="J16" s="4">
        <v>1</v>
      </c>
      <c r="K16" s="4">
        <f t="shared" si="0"/>
        <v>3</v>
      </c>
      <c r="L16" s="4">
        <f t="shared" si="1"/>
        <v>7</v>
      </c>
    </row>
    <row r="17" spans="1:12">
      <c r="A17">
        <v>16</v>
      </c>
      <c r="B17" t="s">
        <v>44</v>
      </c>
      <c r="C17" t="s">
        <v>22</v>
      </c>
      <c r="D17" t="s">
        <v>45</v>
      </c>
      <c r="E17" s="3">
        <v>41.043143000000001</v>
      </c>
      <c r="F17" s="3">
        <v>14.991220999999999</v>
      </c>
      <c r="G17" s="4">
        <v>4</v>
      </c>
      <c r="H17" s="4">
        <v>20</v>
      </c>
      <c r="I17" s="4">
        <v>3</v>
      </c>
      <c r="J17" s="4">
        <v>0</v>
      </c>
      <c r="K17" s="4">
        <f t="shared" si="0"/>
        <v>27</v>
      </c>
      <c r="L17" s="4">
        <f t="shared" si="1"/>
        <v>78</v>
      </c>
    </row>
    <row r="18" spans="1:12">
      <c r="A18">
        <v>17</v>
      </c>
      <c r="B18" t="s">
        <v>46</v>
      </c>
      <c r="C18" t="s">
        <v>22</v>
      </c>
      <c r="D18" t="s">
        <v>47</v>
      </c>
      <c r="E18" s="3">
        <v>41.058812000000003</v>
      </c>
      <c r="F18" s="3">
        <v>15.270714</v>
      </c>
      <c r="G18" s="4">
        <v>21</v>
      </c>
      <c r="H18" s="4">
        <v>15</v>
      </c>
      <c r="I18" s="4">
        <v>2</v>
      </c>
      <c r="J18" s="4">
        <v>0</v>
      </c>
      <c r="K18" s="4">
        <f t="shared" si="0"/>
        <v>38</v>
      </c>
      <c r="L18" s="4">
        <f t="shared" si="1"/>
        <v>112</v>
      </c>
    </row>
    <row r="19" spans="1:12">
      <c r="A19">
        <v>18</v>
      </c>
      <c r="B19" t="s">
        <v>48</v>
      </c>
      <c r="C19" t="s">
        <v>13</v>
      </c>
      <c r="D19" t="s">
        <v>49</v>
      </c>
      <c r="E19" s="3">
        <v>40.831308</v>
      </c>
      <c r="F19" s="3">
        <v>14.217415000000001</v>
      </c>
      <c r="G19" s="4">
        <v>14</v>
      </c>
      <c r="H19" s="4">
        <v>21</v>
      </c>
      <c r="I19" s="4">
        <v>12</v>
      </c>
      <c r="J19" s="4">
        <v>12</v>
      </c>
      <c r="K19" s="4">
        <f t="shared" si="0"/>
        <v>59</v>
      </c>
      <c r="L19" s="4">
        <f t="shared" si="1"/>
        <v>153</v>
      </c>
    </row>
    <row r="20" spans="1:12">
      <c r="A20">
        <v>19</v>
      </c>
      <c r="B20" t="s">
        <v>50</v>
      </c>
      <c r="C20" t="s">
        <v>13</v>
      </c>
      <c r="D20" t="s">
        <v>51</v>
      </c>
      <c r="E20" s="3">
        <v>40.858668999999999</v>
      </c>
      <c r="F20" s="3">
        <v>14.173137000000001</v>
      </c>
      <c r="G20" s="4">
        <v>5</v>
      </c>
      <c r="H20" s="4">
        <v>3</v>
      </c>
      <c r="I20" s="4">
        <v>0</v>
      </c>
      <c r="J20" s="4">
        <v>2</v>
      </c>
      <c r="K20" s="4">
        <f t="shared" si="0"/>
        <v>10</v>
      </c>
      <c r="L20" s="4">
        <f t="shared" si="1"/>
        <v>28</v>
      </c>
    </row>
    <row r="21" spans="1:12">
      <c r="A21">
        <v>20</v>
      </c>
      <c r="B21" t="s">
        <v>52</v>
      </c>
      <c r="C21" t="s">
        <v>13</v>
      </c>
      <c r="D21" t="s">
        <v>53</v>
      </c>
      <c r="E21" s="3">
        <v>40.852041999999997</v>
      </c>
      <c r="F21" s="3">
        <v>14.334038</v>
      </c>
      <c r="G21" s="4">
        <v>1</v>
      </c>
      <c r="H21" s="4">
        <v>1</v>
      </c>
      <c r="I21" s="4">
        <v>0</v>
      </c>
      <c r="J21" s="4">
        <v>4</v>
      </c>
      <c r="K21" s="4">
        <f t="shared" si="0"/>
        <v>6</v>
      </c>
      <c r="L21" s="4">
        <f t="shared" si="1"/>
        <v>14</v>
      </c>
    </row>
    <row r="22" spans="1:12">
      <c r="A22">
        <v>21</v>
      </c>
      <c r="B22" t="s">
        <v>54</v>
      </c>
      <c r="C22" t="s">
        <v>13</v>
      </c>
      <c r="D22" t="s">
        <v>55</v>
      </c>
      <c r="E22" s="3">
        <v>40.857661</v>
      </c>
      <c r="F22" s="3">
        <v>14.334702</v>
      </c>
      <c r="G22" s="4">
        <v>4</v>
      </c>
      <c r="H22" s="4">
        <v>0</v>
      </c>
      <c r="I22" s="4">
        <v>1</v>
      </c>
      <c r="J22" s="4">
        <v>2</v>
      </c>
      <c r="K22" s="4">
        <f t="shared" si="0"/>
        <v>7</v>
      </c>
      <c r="L22" s="4">
        <f t="shared" si="1"/>
        <v>18</v>
      </c>
    </row>
    <row r="23" spans="1:12">
      <c r="A23">
        <v>22</v>
      </c>
      <c r="B23" t="s">
        <v>56</v>
      </c>
      <c r="C23" t="s">
        <v>22</v>
      </c>
      <c r="D23" t="s">
        <v>57</v>
      </c>
      <c r="E23" s="3">
        <v>41.062077000000002</v>
      </c>
      <c r="F23" s="3">
        <v>14.554519000000001</v>
      </c>
      <c r="G23" s="4">
        <v>15</v>
      </c>
      <c r="H23" s="4">
        <v>68</v>
      </c>
      <c r="I23" s="4">
        <v>4</v>
      </c>
      <c r="J23" s="4">
        <v>2</v>
      </c>
      <c r="K23" s="4">
        <f t="shared" si="0"/>
        <v>89</v>
      </c>
      <c r="L23" s="4">
        <f t="shared" si="1"/>
        <v>261</v>
      </c>
    </row>
    <row r="24" spans="1:12">
      <c r="A24">
        <v>23</v>
      </c>
      <c r="B24" t="s">
        <v>58</v>
      </c>
      <c r="C24" t="s">
        <v>22</v>
      </c>
      <c r="D24" t="s">
        <v>59</v>
      </c>
      <c r="E24" s="3">
        <v>40.985214999999997</v>
      </c>
      <c r="F24" s="3">
        <v>14.985424999999999</v>
      </c>
      <c r="G24" s="4">
        <v>4</v>
      </c>
      <c r="H24" s="4">
        <v>6</v>
      </c>
      <c r="I24" s="4">
        <v>0</v>
      </c>
      <c r="J24" s="4">
        <v>4</v>
      </c>
      <c r="K24" s="4">
        <f t="shared" si="0"/>
        <v>14</v>
      </c>
      <c r="L24" s="4">
        <f t="shared" si="1"/>
        <v>38</v>
      </c>
    </row>
    <row r="25" spans="1:12">
      <c r="A25">
        <v>24</v>
      </c>
      <c r="B25" t="s">
        <v>60</v>
      </c>
      <c r="C25" t="s">
        <v>22</v>
      </c>
      <c r="D25" t="s">
        <v>61</v>
      </c>
      <c r="E25" s="3">
        <v>40.784489999999998</v>
      </c>
      <c r="F25" s="3">
        <v>14.454117999999999</v>
      </c>
      <c r="G25" s="4">
        <v>6</v>
      </c>
      <c r="H25" s="4">
        <v>1</v>
      </c>
      <c r="I25" s="4">
        <v>3</v>
      </c>
      <c r="J25" s="4">
        <v>2</v>
      </c>
      <c r="K25" s="4">
        <f t="shared" si="0"/>
        <v>12</v>
      </c>
      <c r="L25" s="4">
        <f t="shared" si="1"/>
        <v>31</v>
      </c>
    </row>
    <row r="26" spans="1:12">
      <c r="A26">
        <v>25</v>
      </c>
      <c r="B26" t="s">
        <v>62</v>
      </c>
      <c r="C26" t="s">
        <v>22</v>
      </c>
      <c r="D26" t="s">
        <v>63</v>
      </c>
      <c r="E26" s="3">
        <v>40.96575</v>
      </c>
      <c r="F26" s="3">
        <v>14.387454999999999</v>
      </c>
      <c r="G26" s="4">
        <v>17</v>
      </c>
      <c r="H26" s="4">
        <v>9</v>
      </c>
      <c r="I26" s="4">
        <v>1</v>
      </c>
      <c r="J26" s="4">
        <v>4</v>
      </c>
      <c r="K26" s="4">
        <f t="shared" si="0"/>
        <v>31</v>
      </c>
      <c r="L26" s="4">
        <f t="shared" si="1"/>
        <v>88</v>
      </c>
    </row>
    <row r="27" spans="1:12">
      <c r="A27">
        <v>26</v>
      </c>
      <c r="B27" t="s">
        <v>64</v>
      </c>
      <c r="C27" t="s">
        <v>22</v>
      </c>
      <c r="D27" t="s">
        <v>65</v>
      </c>
      <c r="E27" s="3">
        <v>40.901676999999999</v>
      </c>
      <c r="F27" s="3">
        <v>14.495872</v>
      </c>
      <c r="G27" s="4">
        <v>0</v>
      </c>
      <c r="H27" s="4">
        <v>2</v>
      </c>
      <c r="I27" s="4">
        <v>1</v>
      </c>
      <c r="J27" s="4">
        <v>2</v>
      </c>
      <c r="K27" s="4">
        <f t="shared" si="0"/>
        <v>5</v>
      </c>
      <c r="L27" s="4">
        <f t="shared" si="1"/>
        <v>12</v>
      </c>
    </row>
    <row r="28" spans="1:12">
      <c r="A28">
        <v>27</v>
      </c>
      <c r="B28" t="s">
        <v>66</v>
      </c>
      <c r="C28" t="s">
        <v>22</v>
      </c>
      <c r="D28" t="s">
        <v>67</v>
      </c>
      <c r="E28" s="3">
        <v>40.725782000000002</v>
      </c>
      <c r="F28" s="3">
        <v>13.90588</v>
      </c>
      <c r="G28" s="4">
        <v>62</v>
      </c>
      <c r="H28" s="4">
        <v>52</v>
      </c>
      <c r="I28" s="4">
        <v>109</v>
      </c>
      <c r="J28" s="4">
        <v>5</v>
      </c>
      <c r="K28" s="4">
        <f t="shared" si="0"/>
        <v>228</v>
      </c>
      <c r="L28" s="4">
        <f t="shared" si="1"/>
        <v>570</v>
      </c>
    </row>
    <row r="29" spans="1:12">
      <c r="A29">
        <v>28</v>
      </c>
      <c r="B29" t="s">
        <v>68</v>
      </c>
      <c r="C29" t="s">
        <v>22</v>
      </c>
      <c r="D29" t="s">
        <v>69</v>
      </c>
      <c r="E29" s="3">
        <v>40.756382000000002</v>
      </c>
      <c r="F29" s="3">
        <v>14.014676</v>
      </c>
      <c r="G29" s="4">
        <v>26</v>
      </c>
      <c r="H29" s="4">
        <v>11</v>
      </c>
      <c r="I29" s="4">
        <v>8</v>
      </c>
      <c r="J29" s="4">
        <v>1</v>
      </c>
      <c r="K29" s="4">
        <f t="shared" si="0"/>
        <v>46</v>
      </c>
      <c r="L29" s="4">
        <f t="shared" si="1"/>
        <v>129</v>
      </c>
    </row>
    <row r="30" spans="1:12">
      <c r="A30">
        <v>29</v>
      </c>
      <c r="B30" t="s">
        <v>70</v>
      </c>
      <c r="C30" t="s">
        <v>22</v>
      </c>
      <c r="D30" t="s">
        <v>71</v>
      </c>
      <c r="E30" s="3">
        <v>41.087573999999996</v>
      </c>
      <c r="F30" s="3">
        <v>14.357286999999999</v>
      </c>
      <c r="G30" s="4">
        <v>106</v>
      </c>
      <c r="H30" s="4">
        <v>83</v>
      </c>
      <c r="I30" s="4">
        <v>19</v>
      </c>
      <c r="J30" s="4">
        <v>1</v>
      </c>
      <c r="K30" s="4">
        <f t="shared" si="0"/>
        <v>209</v>
      </c>
      <c r="L30" s="4">
        <f t="shared" si="1"/>
        <v>607</v>
      </c>
    </row>
    <row r="31" spans="1:12">
      <c r="A31">
        <v>30</v>
      </c>
      <c r="B31" t="s">
        <v>72</v>
      </c>
      <c r="C31" t="s">
        <v>22</v>
      </c>
      <c r="D31" t="s">
        <v>73</v>
      </c>
      <c r="E31" s="3">
        <v>41.149129000000002</v>
      </c>
      <c r="F31" s="3">
        <v>14.782888</v>
      </c>
      <c r="G31" s="4">
        <v>72</v>
      </c>
      <c r="H31" s="4">
        <v>75</v>
      </c>
      <c r="I31" s="4">
        <v>8</v>
      </c>
      <c r="J31" s="4">
        <v>8</v>
      </c>
      <c r="K31" s="4">
        <f t="shared" si="0"/>
        <v>163</v>
      </c>
      <c r="L31" s="4">
        <f t="shared" si="1"/>
        <v>473</v>
      </c>
    </row>
    <row r="32" spans="1:12">
      <c r="A32">
        <v>31</v>
      </c>
      <c r="B32" t="s">
        <v>74</v>
      </c>
      <c r="C32" t="s">
        <v>22</v>
      </c>
      <c r="D32" t="s">
        <v>75</v>
      </c>
      <c r="E32" s="3">
        <v>40.913856000000003</v>
      </c>
      <c r="F32" s="3">
        <v>14.788176</v>
      </c>
      <c r="G32" s="4">
        <v>33</v>
      </c>
      <c r="H32" s="4">
        <v>16</v>
      </c>
      <c r="I32" s="4">
        <v>7</v>
      </c>
      <c r="J32" s="4">
        <v>1</v>
      </c>
      <c r="K32" s="4">
        <f t="shared" si="0"/>
        <v>57</v>
      </c>
      <c r="L32" s="4">
        <f t="shared" si="1"/>
        <v>163</v>
      </c>
    </row>
    <row r="33" spans="1:12">
      <c r="A33">
        <v>32</v>
      </c>
      <c r="B33" t="s">
        <v>76</v>
      </c>
      <c r="C33" t="s">
        <v>77</v>
      </c>
      <c r="D33" t="s">
        <v>78</v>
      </c>
      <c r="E33" s="3">
        <v>40.677889</v>
      </c>
      <c r="F33" s="3">
        <v>14.81021</v>
      </c>
      <c r="G33" s="4">
        <v>20</v>
      </c>
      <c r="H33" s="4">
        <v>22</v>
      </c>
      <c r="I33" s="4">
        <v>22</v>
      </c>
      <c r="J33" s="4">
        <v>7</v>
      </c>
      <c r="K33" s="4">
        <f t="shared" si="0"/>
        <v>71</v>
      </c>
      <c r="L33" s="4">
        <f t="shared" si="1"/>
        <v>184</v>
      </c>
    </row>
    <row r="34" spans="1:12">
      <c r="A34">
        <v>33</v>
      </c>
      <c r="B34" t="s">
        <v>79</v>
      </c>
      <c r="C34" t="s">
        <v>13</v>
      </c>
      <c r="D34" t="s">
        <v>80</v>
      </c>
      <c r="E34" s="3">
        <v>40.824168</v>
      </c>
      <c r="F34" s="3">
        <v>14.184414</v>
      </c>
      <c r="G34" s="4">
        <v>8</v>
      </c>
      <c r="H34" s="4">
        <v>3</v>
      </c>
      <c r="I34" s="4">
        <v>8</v>
      </c>
      <c r="J34" s="4">
        <v>3</v>
      </c>
      <c r="K34" s="4">
        <f t="shared" si="0"/>
        <v>22</v>
      </c>
      <c r="L34" s="4">
        <f t="shared" si="1"/>
        <v>55</v>
      </c>
    </row>
    <row r="35" spans="1:12">
      <c r="A35">
        <v>34</v>
      </c>
      <c r="B35" t="s">
        <v>81</v>
      </c>
      <c r="C35" t="s">
        <v>22</v>
      </c>
      <c r="D35" t="s">
        <v>82</v>
      </c>
      <c r="E35" s="3">
        <v>40.883977999999999</v>
      </c>
      <c r="F35" s="3">
        <v>14.128698</v>
      </c>
      <c r="G35" s="4">
        <v>9</v>
      </c>
      <c r="H35" s="4">
        <v>3</v>
      </c>
      <c r="I35" s="4">
        <v>1</v>
      </c>
      <c r="J35" s="4">
        <v>5</v>
      </c>
      <c r="K35" s="4">
        <f t="shared" si="0"/>
        <v>18</v>
      </c>
      <c r="L35" s="4">
        <f t="shared" si="1"/>
        <v>48</v>
      </c>
    </row>
    <row r="36" spans="1:12">
      <c r="A36">
        <v>35</v>
      </c>
      <c r="B36" t="s">
        <v>83</v>
      </c>
      <c r="C36" t="s">
        <v>22</v>
      </c>
      <c r="D36" t="s">
        <v>84</v>
      </c>
      <c r="E36" s="3">
        <v>40.710008999999999</v>
      </c>
      <c r="F36" s="3">
        <v>14.704675</v>
      </c>
      <c r="G36" s="4">
        <v>6</v>
      </c>
      <c r="H36" s="4">
        <v>11</v>
      </c>
      <c r="I36" s="4">
        <v>4</v>
      </c>
      <c r="J36" s="4">
        <v>1</v>
      </c>
      <c r="K36" s="4">
        <f t="shared" si="0"/>
        <v>22</v>
      </c>
      <c r="L36" s="4">
        <f t="shared" si="1"/>
        <v>61</v>
      </c>
    </row>
    <row r="37" spans="1:12">
      <c r="A37">
        <v>36</v>
      </c>
      <c r="B37" t="s">
        <v>85</v>
      </c>
      <c r="C37" t="s">
        <v>22</v>
      </c>
      <c r="D37" t="s">
        <v>86</v>
      </c>
      <c r="E37" s="3">
        <v>40.778078999999998</v>
      </c>
      <c r="F37" s="3">
        <v>14.736246</v>
      </c>
      <c r="G37" s="4">
        <v>10</v>
      </c>
      <c r="H37" s="4">
        <v>19</v>
      </c>
      <c r="I37" s="4">
        <v>4</v>
      </c>
      <c r="J37" s="4">
        <v>1</v>
      </c>
      <c r="K37" s="4">
        <f t="shared" si="0"/>
        <v>34</v>
      </c>
      <c r="L37" s="4">
        <f t="shared" si="1"/>
        <v>97</v>
      </c>
    </row>
    <row r="38" spans="1:12">
      <c r="A38">
        <v>37</v>
      </c>
      <c r="B38" t="s">
        <v>87</v>
      </c>
      <c r="C38" t="s">
        <v>22</v>
      </c>
      <c r="D38" t="s">
        <v>88</v>
      </c>
      <c r="E38" s="3">
        <v>40.718577000000003</v>
      </c>
      <c r="F38" s="3">
        <v>14.758554999999999</v>
      </c>
      <c r="G38" s="4">
        <v>11</v>
      </c>
      <c r="H38" s="4">
        <v>7</v>
      </c>
      <c r="I38" s="4">
        <v>5</v>
      </c>
      <c r="J38" s="4">
        <v>2</v>
      </c>
      <c r="K38" s="4">
        <f t="shared" si="0"/>
        <v>25</v>
      </c>
      <c r="L38" s="4">
        <f t="shared" si="1"/>
        <v>68</v>
      </c>
    </row>
    <row r="39" spans="1:12">
      <c r="A39">
        <v>38</v>
      </c>
      <c r="B39" t="s">
        <v>89</v>
      </c>
      <c r="C39" t="s">
        <v>22</v>
      </c>
      <c r="D39" t="s">
        <v>90</v>
      </c>
      <c r="E39" s="3">
        <v>40.740406</v>
      </c>
      <c r="F39" s="3">
        <v>14.779477</v>
      </c>
      <c r="G39" s="4">
        <v>4</v>
      </c>
      <c r="H39" s="4">
        <v>3</v>
      </c>
      <c r="I39" s="4">
        <v>2</v>
      </c>
      <c r="J39" s="4">
        <v>2</v>
      </c>
      <c r="K39" s="4">
        <f t="shared" si="0"/>
        <v>11</v>
      </c>
      <c r="L39" s="4">
        <f t="shared" si="1"/>
        <v>29</v>
      </c>
    </row>
    <row r="40" spans="1:12">
      <c r="A40">
        <v>39</v>
      </c>
      <c r="B40" t="s">
        <v>91</v>
      </c>
      <c r="C40" t="s">
        <v>22</v>
      </c>
      <c r="D40" t="s">
        <v>92</v>
      </c>
      <c r="E40" s="3">
        <v>40.873627999999997</v>
      </c>
      <c r="F40" s="3">
        <v>14.444138000000001</v>
      </c>
      <c r="G40" s="4">
        <v>3</v>
      </c>
      <c r="H40" s="4">
        <v>5</v>
      </c>
      <c r="I40" s="4">
        <v>2</v>
      </c>
      <c r="J40" s="4">
        <v>3</v>
      </c>
      <c r="K40" s="4">
        <f t="shared" si="0"/>
        <v>13</v>
      </c>
      <c r="L40" s="4">
        <f t="shared" si="1"/>
        <v>34</v>
      </c>
    </row>
    <row r="41" spans="1:12">
      <c r="A41">
        <v>40</v>
      </c>
      <c r="B41" t="s">
        <v>93</v>
      </c>
      <c r="C41" t="s">
        <v>22</v>
      </c>
      <c r="D41" t="s">
        <v>94</v>
      </c>
      <c r="E41" s="3">
        <v>40.930993999999998</v>
      </c>
      <c r="F41" s="3">
        <v>14.482704999999999</v>
      </c>
      <c r="G41" s="4">
        <v>0</v>
      </c>
      <c r="H41" s="4">
        <v>1</v>
      </c>
      <c r="I41" s="4">
        <v>2</v>
      </c>
      <c r="J41" s="4">
        <v>1</v>
      </c>
      <c r="K41" s="4">
        <f t="shared" si="0"/>
        <v>4</v>
      </c>
      <c r="L41" s="4">
        <f t="shared" si="1"/>
        <v>9</v>
      </c>
    </row>
    <row r="42" spans="1:12">
      <c r="A42">
        <v>41</v>
      </c>
      <c r="B42" t="s">
        <v>95</v>
      </c>
      <c r="C42" t="s">
        <v>22</v>
      </c>
      <c r="D42" t="s">
        <v>96</v>
      </c>
      <c r="E42" s="3">
        <v>40.928244999999997</v>
      </c>
      <c r="F42" s="3">
        <v>14.426398000000001</v>
      </c>
      <c r="G42" s="4">
        <v>4</v>
      </c>
      <c r="H42" s="4">
        <v>1</v>
      </c>
      <c r="I42" s="4">
        <v>0</v>
      </c>
      <c r="J42" s="4">
        <v>2</v>
      </c>
      <c r="K42" s="4">
        <f t="shared" si="0"/>
        <v>7</v>
      </c>
      <c r="L42" s="4">
        <f t="shared" si="1"/>
        <v>19</v>
      </c>
    </row>
    <row r="43" spans="1:12">
      <c r="A43">
        <v>42</v>
      </c>
      <c r="B43" t="s">
        <v>97</v>
      </c>
      <c r="C43" t="s">
        <v>22</v>
      </c>
      <c r="D43" t="s">
        <v>98</v>
      </c>
      <c r="E43" s="3">
        <v>40.917873</v>
      </c>
      <c r="F43" s="3">
        <v>14.410745</v>
      </c>
      <c r="G43" s="4">
        <v>2</v>
      </c>
      <c r="H43" s="4">
        <v>2</v>
      </c>
      <c r="I43" s="4">
        <v>5</v>
      </c>
      <c r="J43" s="4">
        <v>4</v>
      </c>
      <c r="K43" s="4">
        <f t="shared" si="0"/>
        <v>13</v>
      </c>
      <c r="L43" s="4">
        <f t="shared" si="1"/>
        <v>30</v>
      </c>
    </row>
    <row r="44" spans="1:12">
      <c r="A44">
        <v>43</v>
      </c>
      <c r="B44" t="s">
        <v>99</v>
      </c>
      <c r="C44" t="s">
        <v>22</v>
      </c>
      <c r="D44" t="s">
        <v>100</v>
      </c>
      <c r="E44" s="3">
        <v>40.936408999999998</v>
      </c>
      <c r="F44" s="3">
        <v>14.452881</v>
      </c>
      <c r="G44" s="4">
        <v>2</v>
      </c>
      <c r="H44" s="4">
        <v>1</v>
      </c>
      <c r="I44" s="4">
        <v>3</v>
      </c>
      <c r="J44" s="4">
        <v>1</v>
      </c>
      <c r="K44" s="4">
        <f t="shared" si="0"/>
        <v>7</v>
      </c>
      <c r="L44" s="4">
        <f t="shared" si="1"/>
        <v>17</v>
      </c>
    </row>
    <row r="45" spans="1:12">
      <c r="A45">
        <v>44</v>
      </c>
      <c r="B45" t="s">
        <v>101</v>
      </c>
      <c r="C45" t="s">
        <v>22</v>
      </c>
      <c r="D45" t="s">
        <v>102</v>
      </c>
      <c r="E45" s="3">
        <v>40.943441</v>
      </c>
      <c r="F45" s="3">
        <v>14.281336</v>
      </c>
      <c r="G45" s="4">
        <v>5</v>
      </c>
      <c r="H45" s="4">
        <v>8</v>
      </c>
      <c r="I45" s="4">
        <v>1</v>
      </c>
      <c r="J45" s="4">
        <v>0</v>
      </c>
      <c r="K45" s="4">
        <f t="shared" si="0"/>
        <v>14</v>
      </c>
      <c r="L45" s="4">
        <f t="shared" si="1"/>
        <v>41</v>
      </c>
    </row>
    <row r="46" spans="1:12">
      <c r="A46">
        <v>45</v>
      </c>
      <c r="B46" t="s">
        <v>103</v>
      </c>
      <c r="C46" t="s">
        <v>22</v>
      </c>
      <c r="D46" t="s">
        <v>104</v>
      </c>
      <c r="E46" s="3">
        <v>40.973356000000003</v>
      </c>
      <c r="F46" s="3">
        <v>14.319156</v>
      </c>
      <c r="G46" s="4">
        <v>0</v>
      </c>
      <c r="H46" s="4">
        <v>2</v>
      </c>
      <c r="I46" s="4">
        <v>1</v>
      </c>
      <c r="J46" s="4">
        <v>0</v>
      </c>
      <c r="K46" s="4">
        <f t="shared" si="0"/>
        <v>3</v>
      </c>
      <c r="L46" s="4">
        <f t="shared" si="1"/>
        <v>8</v>
      </c>
    </row>
    <row r="47" spans="1:12">
      <c r="A47">
        <v>46</v>
      </c>
      <c r="B47" t="s">
        <v>105</v>
      </c>
      <c r="C47" t="s">
        <v>22</v>
      </c>
      <c r="D47" t="s">
        <v>106</v>
      </c>
      <c r="E47" s="3">
        <v>40.90981</v>
      </c>
      <c r="F47" s="3">
        <v>14.269164999999999</v>
      </c>
      <c r="G47" s="4">
        <v>1</v>
      </c>
      <c r="H47" s="4">
        <v>0</v>
      </c>
      <c r="I47" s="4">
        <v>4</v>
      </c>
      <c r="J47" s="4">
        <v>0</v>
      </c>
      <c r="K47" s="4">
        <f t="shared" si="0"/>
        <v>5</v>
      </c>
      <c r="L47" s="4">
        <f t="shared" si="1"/>
        <v>11</v>
      </c>
    </row>
    <row r="48" spans="1:12">
      <c r="A48">
        <v>47</v>
      </c>
      <c r="B48" t="s">
        <v>107</v>
      </c>
      <c r="C48" t="s">
        <v>22</v>
      </c>
      <c r="D48" t="s">
        <v>108</v>
      </c>
      <c r="E48" s="3">
        <v>40.919314999999997</v>
      </c>
      <c r="F48" s="3">
        <v>14.230926</v>
      </c>
      <c r="G48" s="4">
        <v>3</v>
      </c>
      <c r="H48" s="4">
        <v>36</v>
      </c>
      <c r="I48" s="4">
        <v>3</v>
      </c>
      <c r="J48" s="4">
        <v>2</v>
      </c>
      <c r="K48" s="4">
        <f t="shared" si="0"/>
        <v>44</v>
      </c>
      <c r="L48" s="4">
        <f t="shared" si="1"/>
        <v>127</v>
      </c>
    </row>
    <row r="49" spans="1:12">
      <c r="A49">
        <v>48</v>
      </c>
      <c r="B49" t="s">
        <v>109</v>
      </c>
      <c r="C49" t="s">
        <v>22</v>
      </c>
      <c r="D49" t="s">
        <v>110</v>
      </c>
      <c r="E49" s="3">
        <v>40.972338999999998</v>
      </c>
      <c r="F49" s="3">
        <v>14.614613</v>
      </c>
      <c r="G49" s="4">
        <v>9</v>
      </c>
      <c r="H49" s="4">
        <v>23</v>
      </c>
      <c r="I49" s="4">
        <v>1</v>
      </c>
      <c r="J49" s="4">
        <v>2</v>
      </c>
      <c r="K49" s="4">
        <f t="shared" si="0"/>
        <v>35</v>
      </c>
      <c r="L49" s="4">
        <f t="shared" si="1"/>
        <v>102</v>
      </c>
    </row>
    <row r="50" spans="1:12">
      <c r="A50">
        <v>49</v>
      </c>
      <c r="B50" t="s">
        <v>111</v>
      </c>
      <c r="C50" t="s">
        <v>22</v>
      </c>
      <c r="D50" t="s">
        <v>112</v>
      </c>
      <c r="E50" s="3">
        <v>40.872933000000003</v>
      </c>
      <c r="F50" s="3">
        <v>14.639474</v>
      </c>
      <c r="G50" s="4">
        <v>2</v>
      </c>
      <c r="H50" s="4">
        <v>4</v>
      </c>
      <c r="I50" s="4">
        <v>0</v>
      </c>
      <c r="J50" s="4">
        <v>0</v>
      </c>
      <c r="K50" s="4">
        <f t="shared" si="0"/>
        <v>6</v>
      </c>
      <c r="L50" s="4">
        <f t="shared" si="1"/>
        <v>18</v>
      </c>
    </row>
    <row r="51" spans="1:12">
      <c r="A51">
        <v>50</v>
      </c>
      <c r="B51" t="s">
        <v>113</v>
      </c>
      <c r="C51" t="s">
        <v>22</v>
      </c>
      <c r="D51" t="s">
        <v>114</v>
      </c>
      <c r="E51" s="3">
        <v>40.962094</v>
      </c>
      <c r="F51" s="3">
        <v>14.530151</v>
      </c>
      <c r="G51" s="4">
        <v>0</v>
      </c>
      <c r="H51" s="4">
        <v>1</v>
      </c>
      <c r="I51" s="4">
        <v>0</v>
      </c>
      <c r="J51" s="4">
        <v>1</v>
      </c>
      <c r="K51" s="4">
        <f t="shared" si="0"/>
        <v>2</v>
      </c>
      <c r="L51" s="4">
        <f t="shared" si="1"/>
        <v>5</v>
      </c>
    </row>
    <row r="52" spans="1:12">
      <c r="A52">
        <v>51</v>
      </c>
      <c r="B52" t="s">
        <v>115</v>
      </c>
      <c r="C52" t="s">
        <v>22</v>
      </c>
      <c r="D52" t="s">
        <v>116</v>
      </c>
      <c r="E52" s="3">
        <v>40.953282000000002</v>
      </c>
      <c r="F52" s="3">
        <v>14.525589999999999</v>
      </c>
      <c r="G52" s="4">
        <v>0</v>
      </c>
      <c r="H52" s="4">
        <v>0</v>
      </c>
      <c r="I52" s="4">
        <v>1</v>
      </c>
      <c r="J52" s="4">
        <v>1</v>
      </c>
      <c r="K52" s="4">
        <f t="shared" si="0"/>
        <v>2</v>
      </c>
      <c r="L52" s="4">
        <f t="shared" si="1"/>
        <v>4</v>
      </c>
    </row>
    <row r="53" spans="1:12">
      <c r="A53">
        <v>52</v>
      </c>
      <c r="B53" t="s">
        <v>117</v>
      </c>
      <c r="C53" t="s">
        <v>22</v>
      </c>
      <c r="D53" t="s">
        <v>118</v>
      </c>
      <c r="E53" s="3">
        <v>40.983193999999997</v>
      </c>
      <c r="F53" s="3">
        <v>14.547491000000001</v>
      </c>
      <c r="G53" s="4">
        <v>8</v>
      </c>
      <c r="H53" s="4">
        <v>1</v>
      </c>
      <c r="I53" s="4">
        <v>1</v>
      </c>
      <c r="J53" s="4">
        <v>1</v>
      </c>
      <c r="K53" s="4">
        <f t="shared" si="0"/>
        <v>11</v>
      </c>
      <c r="L53" s="4">
        <f t="shared" si="1"/>
        <v>31</v>
      </c>
    </row>
    <row r="54" spans="1:12">
      <c r="A54">
        <v>53</v>
      </c>
      <c r="B54" t="s">
        <v>119</v>
      </c>
      <c r="C54" t="s">
        <v>22</v>
      </c>
      <c r="D54" t="s">
        <v>120</v>
      </c>
      <c r="E54" s="3">
        <v>40.860301999999997</v>
      </c>
      <c r="F54" s="3">
        <v>14.55269</v>
      </c>
      <c r="G54" s="4">
        <v>2</v>
      </c>
      <c r="H54" s="4">
        <v>10</v>
      </c>
      <c r="I54" s="4">
        <v>2</v>
      </c>
      <c r="J54" s="4">
        <v>1</v>
      </c>
      <c r="K54" s="4">
        <f t="shared" si="0"/>
        <v>15</v>
      </c>
      <c r="L54" s="4">
        <f t="shared" si="1"/>
        <v>42</v>
      </c>
    </row>
    <row r="55" spans="1:12">
      <c r="A55">
        <v>54</v>
      </c>
      <c r="B55" t="s">
        <v>121</v>
      </c>
      <c r="C55" t="s">
        <v>22</v>
      </c>
      <c r="D55" t="s">
        <v>122</v>
      </c>
      <c r="E55" s="3">
        <v>40.775157</v>
      </c>
      <c r="F55" s="3">
        <v>14.814595000000001</v>
      </c>
      <c r="G55" s="4">
        <v>13</v>
      </c>
      <c r="H55" s="4">
        <v>7</v>
      </c>
      <c r="I55" s="4">
        <v>3</v>
      </c>
      <c r="J55" s="4">
        <v>0</v>
      </c>
      <c r="K55" s="4">
        <f t="shared" si="0"/>
        <v>23</v>
      </c>
      <c r="L55" s="4">
        <f t="shared" si="1"/>
        <v>66</v>
      </c>
    </row>
    <row r="56" spans="1:12">
      <c r="A56">
        <v>55</v>
      </c>
      <c r="B56" t="s">
        <v>123</v>
      </c>
      <c r="C56" t="s">
        <v>22</v>
      </c>
      <c r="D56" t="s">
        <v>124</v>
      </c>
      <c r="E56" s="3">
        <v>40.626595000000002</v>
      </c>
      <c r="F56" s="3">
        <v>14.886965</v>
      </c>
      <c r="G56" s="4">
        <v>3</v>
      </c>
      <c r="H56" s="4">
        <v>5</v>
      </c>
      <c r="I56" s="4">
        <v>10</v>
      </c>
      <c r="J56" s="4">
        <v>3</v>
      </c>
      <c r="K56" s="4">
        <f t="shared" si="0"/>
        <v>21</v>
      </c>
      <c r="L56" s="4">
        <f t="shared" si="1"/>
        <v>50</v>
      </c>
    </row>
    <row r="57" spans="1:12">
      <c r="A57">
        <v>56</v>
      </c>
      <c r="B57" t="s">
        <v>125</v>
      </c>
      <c r="C57" t="s">
        <v>22</v>
      </c>
      <c r="D57" t="s">
        <v>126</v>
      </c>
      <c r="E57" s="3">
        <v>40.648408000000003</v>
      </c>
      <c r="F57" s="3">
        <v>14.939429000000001</v>
      </c>
      <c r="G57" s="4">
        <v>2</v>
      </c>
      <c r="H57" s="4">
        <v>2</v>
      </c>
      <c r="I57" s="4">
        <v>1</v>
      </c>
      <c r="J57" s="4">
        <v>0</v>
      </c>
      <c r="K57" s="4">
        <f t="shared" si="0"/>
        <v>5</v>
      </c>
      <c r="L57" s="4">
        <f t="shared" si="1"/>
        <v>14</v>
      </c>
    </row>
    <row r="58" spans="1:12">
      <c r="A58">
        <v>57</v>
      </c>
      <c r="B58" t="s">
        <v>127</v>
      </c>
      <c r="C58" t="s">
        <v>22</v>
      </c>
      <c r="D58" t="s">
        <v>128</v>
      </c>
      <c r="E58" s="3">
        <v>40.711542000000001</v>
      </c>
      <c r="F58" s="3">
        <v>15.033899</v>
      </c>
      <c r="G58" s="4">
        <v>12</v>
      </c>
      <c r="H58" s="4">
        <v>11</v>
      </c>
      <c r="I58" s="4">
        <v>3</v>
      </c>
      <c r="J58" s="4">
        <v>0</v>
      </c>
      <c r="K58" s="4">
        <f t="shared" si="0"/>
        <v>26</v>
      </c>
      <c r="L58" s="4">
        <f t="shared" si="1"/>
        <v>75</v>
      </c>
    </row>
    <row r="59" spans="1:12">
      <c r="A59">
        <v>58</v>
      </c>
      <c r="B59" t="s">
        <v>129</v>
      </c>
      <c r="C59" t="s">
        <v>22</v>
      </c>
      <c r="D59" t="s">
        <v>130</v>
      </c>
      <c r="E59" s="3">
        <v>40.737000000000002</v>
      </c>
      <c r="F59" s="3">
        <v>14.909107000000001</v>
      </c>
      <c r="G59" s="4">
        <v>5</v>
      </c>
      <c r="H59" s="4">
        <v>5</v>
      </c>
      <c r="I59" s="4">
        <v>0</v>
      </c>
      <c r="J59" s="4">
        <v>0</v>
      </c>
      <c r="K59" s="4">
        <f t="shared" si="0"/>
        <v>10</v>
      </c>
      <c r="L59" s="4">
        <f t="shared" si="1"/>
        <v>30</v>
      </c>
    </row>
    <row r="60" spans="1:12">
      <c r="A60">
        <v>59</v>
      </c>
      <c r="B60" t="s">
        <v>131</v>
      </c>
      <c r="C60" t="s">
        <v>22</v>
      </c>
      <c r="D60" t="s">
        <v>132</v>
      </c>
      <c r="E60" s="3">
        <v>40.806710000000002</v>
      </c>
      <c r="F60" s="3">
        <v>14.546787</v>
      </c>
      <c r="G60" s="4">
        <v>0</v>
      </c>
      <c r="H60" s="4">
        <v>0</v>
      </c>
      <c r="I60" s="4">
        <v>0</v>
      </c>
      <c r="J60" s="4">
        <v>3</v>
      </c>
      <c r="K60" s="4">
        <f t="shared" si="0"/>
        <v>3</v>
      </c>
      <c r="L60" s="4">
        <f t="shared" si="1"/>
        <v>6</v>
      </c>
    </row>
    <row r="61" spans="1:12">
      <c r="A61">
        <v>60</v>
      </c>
      <c r="B61" t="s">
        <v>133</v>
      </c>
      <c r="C61" t="s">
        <v>22</v>
      </c>
      <c r="D61" t="s">
        <v>134</v>
      </c>
      <c r="E61" s="3">
        <v>40.694034000000002</v>
      </c>
      <c r="F61" s="3">
        <v>14.545458</v>
      </c>
      <c r="G61" s="4">
        <v>10</v>
      </c>
      <c r="H61" s="4">
        <v>21</v>
      </c>
      <c r="I61" s="4">
        <v>7</v>
      </c>
      <c r="J61" s="4">
        <v>0</v>
      </c>
      <c r="K61" s="4">
        <f t="shared" si="0"/>
        <v>38</v>
      </c>
      <c r="L61" s="4">
        <f t="shared" si="1"/>
        <v>107</v>
      </c>
    </row>
    <row r="62" spans="1:12">
      <c r="A62">
        <v>61</v>
      </c>
      <c r="B62" t="s">
        <v>135</v>
      </c>
      <c r="C62" t="s">
        <v>22</v>
      </c>
      <c r="D62" t="s">
        <v>136</v>
      </c>
      <c r="E62" s="3">
        <v>40.836120999999999</v>
      </c>
      <c r="F62" s="3">
        <v>14.48725</v>
      </c>
      <c r="G62" s="4">
        <v>14</v>
      </c>
      <c r="H62" s="4">
        <v>5</v>
      </c>
      <c r="I62" s="4">
        <v>1</v>
      </c>
      <c r="J62" s="4">
        <v>4</v>
      </c>
      <c r="K62" s="4">
        <f t="shared" si="0"/>
        <v>24</v>
      </c>
      <c r="L62" s="4">
        <f t="shared" si="1"/>
        <v>67</v>
      </c>
    </row>
    <row r="63" spans="1:12">
      <c r="A63">
        <v>62</v>
      </c>
      <c r="B63" t="s">
        <v>137</v>
      </c>
      <c r="C63" t="s">
        <v>22</v>
      </c>
      <c r="D63" t="s">
        <v>138</v>
      </c>
      <c r="E63" s="3">
        <v>40.650646000000002</v>
      </c>
      <c r="F63" s="3">
        <v>14.532828</v>
      </c>
      <c r="G63" s="4">
        <v>24</v>
      </c>
      <c r="H63" s="4">
        <v>4</v>
      </c>
      <c r="I63" s="4">
        <v>3</v>
      </c>
      <c r="J63" s="4">
        <v>0</v>
      </c>
      <c r="K63" s="4">
        <f t="shared" si="0"/>
        <v>31</v>
      </c>
      <c r="L63" s="4">
        <f t="shared" si="1"/>
        <v>90</v>
      </c>
    </row>
    <row r="64" spans="1:12">
      <c r="A64">
        <v>63</v>
      </c>
      <c r="B64" t="s">
        <v>139</v>
      </c>
      <c r="C64" t="s">
        <v>22</v>
      </c>
      <c r="D64" t="s">
        <v>140</v>
      </c>
      <c r="E64" s="3">
        <v>40.722718</v>
      </c>
      <c r="F64" s="3">
        <v>14.529184000000001</v>
      </c>
      <c r="G64" s="4">
        <v>0</v>
      </c>
      <c r="H64" s="4">
        <v>2</v>
      </c>
      <c r="I64" s="4">
        <v>4</v>
      </c>
      <c r="J64" s="4">
        <v>0</v>
      </c>
      <c r="K64" s="4">
        <f t="shared" si="0"/>
        <v>6</v>
      </c>
      <c r="L64" s="4">
        <f t="shared" si="1"/>
        <v>14</v>
      </c>
    </row>
    <row r="65" spans="1:12">
      <c r="A65">
        <v>64</v>
      </c>
      <c r="B65" t="s">
        <v>141</v>
      </c>
      <c r="C65" t="s">
        <v>22</v>
      </c>
      <c r="D65" t="s">
        <v>142</v>
      </c>
      <c r="E65" s="3">
        <v>40.802788999999997</v>
      </c>
      <c r="F65" s="3">
        <v>14.480776000000001</v>
      </c>
      <c r="G65" s="4">
        <v>16</v>
      </c>
      <c r="H65" s="4">
        <v>4</v>
      </c>
      <c r="I65" s="4">
        <v>2</v>
      </c>
      <c r="J65" s="4">
        <v>1</v>
      </c>
      <c r="K65" s="4">
        <f t="shared" si="0"/>
        <v>23</v>
      </c>
      <c r="L65" s="4">
        <f t="shared" si="1"/>
        <v>66</v>
      </c>
    </row>
    <row r="66" spans="1:12">
      <c r="A66">
        <v>65</v>
      </c>
      <c r="B66" t="s">
        <v>143</v>
      </c>
      <c r="C66" t="s">
        <v>22</v>
      </c>
      <c r="D66" t="s">
        <v>144</v>
      </c>
      <c r="E66" s="3">
        <v>40.818882000000002</v>
      </c>
      <c r="F66" s="3">
        <v>14.341828</v>
      </c>
      <c r="G66" s="4">
        <v>13</v>
      </c>
      <c r="H66" s="4">
        <v>109</v>
      </c>
      <c r="I66" s="4">
        <v>17</v>
      </c>
      <c r="J66" s="4">
        <v>5</v>
      </c>
      <c r="K66" s="4">
        <f t="shared" ref="K66:K129" si="2">SUM(G66:J66)</f>
        <v>144</v>
      </c>
      <c r="L66" s="4">
        <f t="shared" ref="L66:L129" si="3">3*G66+3*H66+2*I66+2*J66</f>
        <v>410</v>
      </c>
    </row>
    <row r="67" spans="1:12">
      <c r="A67">
        <v>66</v>
      </c>
      <c r="B67" t="s">
        <v>145</v>
      </c>
      <c r="C67" t="s">
        <v>22</v>
      </c>
      <c r="D67" t="s">
        <v>146</v>
      </c>
      <c r="E67" s="3">
        <v>41.016646999999999</v>
      </c>
      <c r="F67" s="3">
        <v>14.669188</v>
      </c>
      <c r="G67" s="4">
        <v>18</v>
      </c>
      <c r="H67" s="4">
        <v>19</v>
      </c>
      <c r="I67" s="4">
        <v>4</v>
      </c>
      <c r="J67" s="4">
        <v>2</v>
      </c>
      <c r="K67" s="4">
        <f t="shared" si="2"/>
        <v>43</v>
      </c>
      <c r="L67" s="4">
        <f t="shared" si="3"/>
        <v>123</v>
      </c>
    </row>
    <row r="68" spans="1:12">
      <c r="A68">
        <v>67</v>
      </c>
      <c r="B68" t="s">
        <v>147</v>
      </c>
      <c r="C68" t="s">
        <v>22</v>
      </c>
      <c r="D68" t="s">
        <v>148</v>
      </c>
      <c r="E68" s="3">
        <v>40.930686999999999</v>
      </c>
      <c r="F68" s="3">
        <v>14.252852000000001</v>
      </c>
      <c r="G68" s="4">
        <v>13</v>
      </c>
      <c r="H68" s="4">
        <v>22</v>
      </c>
      <c r="I68" s="4">
        <v>0</v>
      </c>
      <c r="J68" s="4">
        <v>1</v>
      </c>
      <c r="K68" s="4">
        <f t="shared" si="2"/>
        <v>36</v>
      </c>
      <c r="L68" s="4">
        <f t="shared" si="3"/>
        <v>107</v>
      </c>
    </row>
    <row r="69" spans="1:12">
      <c r="A69">
        <v>68</v>
      </c>
      <c r="B69" t="s">
        <v>149</v>
      </c>
      <c r="C69" t="s">
        <v>22</v>
      </c>
      <c r="D69" t="s">
        <v>150</v>
      </c>
      <c r="E69" s="3">
        <v>40.747993999999998</v>
      </c>
      <c r="F69" s="3">
        <v>14.496081</v>
      </c>
      <c r="G69" s="4">
        <v>41</v>
      </c>
      <c r="H69" s="4">
        <v>1049</v>
      </c>
      <c r="I69" s="4">
        <v>33</v>
      </c>
      <c r="J69" s="4">
        <v>4</v>
      </c>
      <c r="K69" s="4">
        <f t="shared" si="2"/>
        <v>1127</v>
      </c>
      <c r="L69" s="4">
        <f t="shared" si="3"/>
        <v>3344</v>
      </c>
    </row>
    <row r="70" spans="1:12">
      <c r="A70">
        <v>69</v>
      </c>
      <c r="B70" t="s">
        <v>151</v>
      </c>
      <c r="C70" t="s">
        <v>22</v>
      </c>
      <c r="D70" t="s">
        <v>152</v>
      </c>
      <c r="E70" s="3">
        <v>40.779282000000002</v>
      </c>
      <c r="F70" s="3">
        <v>14.506221999999999</v>
      </c>
      <c r="G70" s="4">
        <v>0</v>
      </c>
      <c r="H70" s="4">
        <v>179</v>
      </c>
      <c r="I70" s="4">
        <v>6</v>
      </c>
      <c r="J70" s="4">
        <v>0</v>
      </c>
      <c r="K70" s="4">
        <f t="shared" si="2"/>
        <v>185</v>
      </c>
      <c r="L70" s="4">
        <f t="shared" si="3"/>
        <v>549</v>
      </c>
    </row>
    <row r="71" spans="1:12">
      <c r="A71">
        <v>70</v>
      </c>
      <c r="B71" t="s">
        <v>153</v>
      </c>
      <c r="C71" t="s">
        <v>22</v>
      </c>
      <c r="D71" t="s">
        <v>154</v>
      </c>
      <c r="E71" s="3">
        <v>40.752876999999998</v>
      </c>
      <c r="F71" s="3">
        <v>14.609381000000001</v>
      </c>
      <c r="G71" s="4">
        <v>25</v>
      </c>
      <c r="H71" s="4">
        <v>19</v>
      </c>
      <c r="I71" s="4">
        <v>6</v>
      </c>
      <c r="J71" s="4">
        <v>1</v>
      </c>
      <c r="K71" s="4">
        <f t="shared" si="2"/>
        <v>51</v>
      </c>
      <c r="L71" s="4">
        <f t="shared" si="3"/>
        <v>146</v>
      </c>
    </row>
    <row r="72" spans="1:12">
      <c r="A72">
        <v>71</v>
      </c>
      <c r="B72" t="s">
        <v>155</v>
      </c>
      <c r="C72" t="s">
        <v>13</v>
      </c>
      <c r="D72" t="s">
        <v>156</v>
      </c>
      <c r="E72" s="3">
        <v>40.860619</v>
      </c>
      <c r="F72" s="3">
        <v>14.258387000000001</v>
      </c>
      <c r="G72" s="4">
        <v>48</v>
      </c>
      <c r="H72" s="4">
        <v>55</v>
      </c>
      <c r="I72" s="4">
        <v>29</v>
      </c>
      <c r="J72" s="4">
        <v>2</v>
      </c>
      <c r="K72" s="4">
        <f t="shared" si="2"/>
        <v>134</v>
      </c>
      <c r="L72" s="4">
        <f t="shared" si="3"/>
        <v>371</v>
      </c>
    </row>
    <row r="73" spans="1:12">
      <c r="A73">
        <v>72</v>
      </c>
      <c r="B73" t="s">
        <v>157</v>
      </c>
      <c r="C73" t="s">
        <v>22</v>
      </c>
      <c r="D73" t="s">
        <v>158</v>
      </c>
      <c r="E73" s="3">
        <v>40.754347000000003</v>
      </c>
      <c r="F73" s="3">
        <v>14.638968999999999</v>
      </c>
      <c r="G73" s="4">
        <v>7</v>
      </c>
      <c r="H73" s="4">
        <v>19</v>
      </c>
      <c r="I73" s="4">
        <v>2</v>
      </c>
      <c r="J73" s="4">
        <v>3</v>
      </c>
      <c r="K73" s="4">
        <f t="shared" si="2"/>
        <v>31</v>
      </c>
      <c r="L73" s="4">
        <f t="shared" si="3"/>
        <v>88</v>
      </c>
    </row>
    <row r="74" spans="1:12">
      <c r="A74">
        <v>73</v>
      </c>
      <c r="B74" t="s">
        <v>159</v>
      </c>
      <c r="C74" t="s">
        <v>22</v>
      </c>
      <c r="D74" t="s">
        <v>160</v>
      </c>
      <c r="E74" s="3">
        <v>40.738126000000001</v>
      </c>
      <c r="F74" s="3">
        <v>14.674734000000001</v>
      </c>
      <c r="G74" s="4">
        <v>4</v>
      </c>
      <c r="H74" s="4">
        <v>14</v>
      </c>
      <c r="I74" s="4">
        <v>1</v>
      </c>
      <c r="J74" s="4">
        <v>1</v>
      </c>
      <c r="K74" s="4">
        <f t="shared" si="2"/>
        <v>20</v>
      </c>
      <c r="L74" s="4">
        <f t="shared" si="3"/>
        <v>58</v>
      </c>
    </row>
    <row r="75" spans="1:12">
      <c r="A75">
        <v>74</v>
      </c>
      <c r="B75" t="s">
        <v>161</v>
      </c>
      <c r="C75" t="s">
        <v>22</v>
      </c>
      <c r="D75" t="s">
        <v>162</v>
      </c>
      <c r="E75" s="3">
        <v>40.733505000000001</v>
      </c>
      <c r="F75" s="3">
        <v>14.581453</v>
      </c>
      <c r="G75" s="4">
        <v>6</v>
      </c>
      <c r="H75" s="4">
        <v>16</v>
      </c>
      <c r="I75" s="4">
        <v>8</v>
      </c>
      <c r="J75" s="4">
        <v>1</v>
      </c>
      <c r="K75" s="4">
        <f t="shared" si="2"/>
        <v>31</v>
      </c>
      <c r="L75" s="4">
        <f t="shared" si="3"/>
        <v>84</v>
      </c>
    </row>
    <row r="76" spans="1:12">
      <c r="A76">
        <v>75</v>
      </c>
      <c r="B76" t="s">
        <v>163</v>
      </c>
      <c r="C76" t="s">
        <v>22</v>
      </c>
      <c r="D76" t="s">
        <v>164</v>
      </c>
      <c r="E76" s="3">
        <v>40.762242000000001</v>
      </c>
      <c r="F76" s="3">
        <v>14.536927</v>
      </c>
      <c r="G76" s="4">
        <v>2</v>
      </c>
      <c r="H76" s="4">
        <v>4</v>
      </c>
      <c r="I76" s="4">
        <v>2</v>
      </c>
      <c r="J76" s="4">
        <v>3</v>
      </c>
      <c r="K76" s="4">
        <f t="shared" si="2"/>
        <v>11</v>
      </c>
      <c r="L76" s="4">
        <f t="shared" si="3"/>
        <v>28</v>
      </c>
    </row>
    <row r="77" spans="1:12">
      <c r="A77">
        <v>76</v>
      </c>
      <c r="B77" t="s">
        <v>165</v>
      </c>
      <c r="C77" t="s">
        <v>22</v>
      </c>
      <c r="D77" t="s">
        <v>166</v>
      </c>
      <c r="E77" s="3">
        <v>40.785355000000003</v>
      </c>
      <c r="F77" s="3">
        <v>14.593776999999999</v>
      </c>
      <c r="G77" s="4">
        <v>0</v>
      </c>
      <c r="H77" s="4">
        <v>1</v>
      </c>
      <c r="I77" s="4">
        <v>0</v>
      </c>
      <c r="J77" s="4">
        <v>1</v>
      </c>
      <c r="K77" s="4">
        <f t="shared" si="2"/>
        <v>2</v>
      </c>
      <c r="L77" s="4">
        <f t="shared" si="3"/>
        <v>5</v>
      </c>
    </row>
    <row r="78" spans="1:12">
      <c r="A78">
        <v>77</v>
      </c>
      <c r="B78" t="s">
        <v>167</v>
      </c>
      <c r="C78" t="s">
        <v>22</v>
      </c>
      <c r="D78" t="s">
        <v>168</v>
      </c>
      <c r="E78" s="3">
        <v>40.779564999999998</v>
      </c>
      <c r="F78" s="3">
        <v>14.439059</v>
      </c>
      <c r="G78" s="4">
        <v>2</v>
      </c>
      <c r="H78" s="4">
        <v>8</v>
      </c>
      <c r="I78" s="4">
        <v>7</v>
      </c>
      <c r="J78" s="4">
        <v>3</v>
      </c>
      <c r="K78" s="4">
        <f t="shared" si="2"/>
        <v>20</v>
      </c>
      <c r="L78" s="4">
        <f t="shared" si="3"/>
        <v>50</v>
      </c>
    </row>
    <row r="79" spans="1:12">
      <c r="A79">
        <v>78</v>
      </c>
      <c r="B79" t="s">
        <v>169</v>
      </c>
      <c r="C79" t="s">
        <v>22</v>
      </c>
      <c r="D79" t="s">
        <v>170</v>
      </c>
      <c r="E79" s="3">
        <v>40.818137999999998</v>
      </c>
      <c r="F79" s="3">
        <v>14.623246</v>
      </c>
      <c r="G79" s="4">
        <v>9</v>
      </c>
      <c r="H79" s="4">
        <v>7</v>
      </c>
      <c r="I79" s="4">
        <v>1</v>
      </c>
      <c r="J79" s="4">
        <v>2</v>
      </c>
      <c r="K79" s="4">
        <f t="shared" si="2"/>
        <v>19</v>
      </c>
      <c r="L79" s="4">
        <f t="shared" si="3"/>
        <v>54</v>
      </c>
    </row>
    <row r="80" spans="1:12">
      <c r="A80">
        <v>79</v>
      </c>
      <c r="B80" t="s">
        <v>171</v>
      </c>
      <c r="C80" t="s">
        <v>13</v>
      </c>
      <c r="D80" t="s">
        <v>172</v>
      </c>
      <c r="E80" s="3">
        <v>40.851882000000003</v>
      </c>
      <c r="F80" s="3">
        <v>14.281357</v>
      </c>
      <c r="G80" s="4">
        <v>19</v>
      </c>
      <c r="H80" s="4">
        <v>5</v>
      </c>
      <c r="I80" s="4">
        <v>11</v>
      </c>
      <c r="J80" s="4">
        <v>6</v>
      </c>
      <c r="K80" s="4">
        <f t="shared" si="2"/>
        <v>41</v>
      </c>
      <c r="L80" s="4">
        <f t="shared" si="3"/>
        <v>106</v>
      </c>
    </row>
    <row r="81" spans="1:12">
      <c r="A81">
        <v>80</v>
      </c>
      <c r="B81" t="s">
        <v>173</v>
      </c>
      <c r="C81" t="s">
        <v>22</v>
      </c>
      <c r="D81" t="s">
        <v>174</v>
      </c>
      <c r="E81" s="3">
        <v>40.834116000000002</v>
      </c>
      <c r="F81" s="3">
        <v>14.33948</v>
      </c>
      <c r="G81" s="4">
        <v>3</v>
      </c>
      <c r="H81" s="4">
        <v>1</v>
      </c>
      <c r="I81" s="4">
        <v>0</v>
      </c>
      <c r="J81" s="4">
        <v>2</v>
      </c>
      <c r="K81" s="4">
        <f t="shared" si="2"/>
        <v>6</v>
      </c>
      <c r="L81" s="4">
        <f t="shared" si="3"/>
        <v>16</v>
      </c>
    </row>
    <row r="82" spans="1:12">
      <c r="A82">
        <v>81</v>
      </c>
      <c r="B82" t="s">
        <v>175</v>
      </c>
      <c r="C82" t="s">
        <v>22</v>
      </c>
      <c r="D82" t="s">
        <v>176</v>
      </c>
      <c r="E82" s="3">
        <v>40.907483999999997</v>
      </c>
      <c r="F82" s="3">
        <v>14.351886</v>
      </c>
      <c r="G82" s="4">
        <v>2</v>
      </c>
      <c r="H82" s="4">
        <v>1</v>
      </c>
      <c r="I82" s="4">
        <v>1</v>
      </c>
      <c r="J82" s="4">
        <v>5</v>
      </c>
      <c r="K82" s="4">
        <f t="shared" si="2"/>
        <v>9</v>
      </c>
      <c r="L82" s="4">
        <f t="shared" si="3"/>
        <v>21</v>
      </c>
    </row>
    <row r="83" spans="1:12">
      <c r="A83">
        <v>82</v>
      </c>
      <c r="B83" t="s">
        <v>177</v>
      </c>
      <c r="C83" t="s">
        <v>22</v>
      </c>
      <c r="D83" t="s">
        <v>178</v>
      </c>
      <c r="E83" s="3">
        <v>40.943083000000001</v>
      </c>
      <c r="F83" s="3">
        <v>14.232797</v>
      </c>
      <c r="G83" s="4">
        <v>0</v>
      </c>
      <c r="H83" s="4">
        <v>10</v>
      </c>
      <c r="I83" s="4">
        <v>3</v>
      </c>
      <c r="J83" s="4">
        <v>1</v>
      </c>
      <c r="K83" s="4">
        <f t="shared" si="2"/>
        <v>14</v>
      </c>
      <c r="L83" s="4">
        <f t="shared" si="3"/>
        <v>38</v>
      </c>
    </row>
    <row r="84" spans="1:12">
      <c r="A84">
        <v>83</v>
      </c>
      <c r="B84" t="s">
        <v>179</v>
      </c>
      <c r="C84" t="s">
        <v>22</v>
      </c>
      <c r="D84" t="s">
        <v>180</v>
      </c>
      <c r="E84" s="3">
        <v>40.882980000000003</v>
      </c>
      <c r="F84" s="3">
        <v>14.344991</v>
      </c>
      <c r="G84" s="4">
        <v>0</v>
      </c>
      <c r="H84" s="4">
        <v>0</v>
      </c>
      <c r="I84" s="4">
        <v>2</v>
      </c>
      <c r="J84" s="4">
        <v>1</v>
      </c>
      <c r="K84" s="4">
        <f t="shared" si="2"/>
        <v>3</v>
      </c>
      <c r="L84" s="4">
        <f t="shared" si="3"/>
        <v>6</v>
      </c>
    </row>
    <row r="85" spans="1:12">
      <c r="A85">
        <v>84</v>
      </c>
      <c r="B85" t="s">
        <v>181</v>
      </c>
      <c r="C85" t="s">
        <v>22</v>
      </c>
      <c r="D85" t="s">
        <v>182</v>
      </c>
      <c r="E85" s="3">
        <v>40.861834000000002</v>
      </c>
      <c r="F85" s="3">
        <v>14.358805</v>
      </c>
      <c r="G85" s="4">
        <v>2</v>
      </c>
      <c r="H85" s="4">
        <v>0</v>
      </c>
      <c r="I85" s="4">
        <v>2</v>
      </c>
      <c r="J85" s="4">
        <v>1</v>
      </c>
      <c r="K85" s="4">
        <f t="shared" si="2"/>
        <v>5</v>
      </c>
      <c r="L85" s="4">
        <f t="shared" si="3"/>
        <v>12</v>
      </c>
    </row>
    <row r="86" spans="1:12">
      <c r="A86">
        <v>85</v>
      </c>
      <c r="B86" t="s">
        <v>183</v>
      </c>
      <c r="C86" t="s">
        <v>22</v>
      </c>
      <c r="D86" t="s">
        <v>184</v>
      </c>
      <c r="E86" s="3">
        <v>40.885930000000002</v>
      </c>
      <c r="F86" s="3">
        <v>14.862409</v>
      </c>
      <c r="G86" s="4">
        <v>2</v>
      </c>
      <c r="H86" s="4">
        <v>1</v>
      </c>
      <c r="I86" s="4">
        <v>1</v>
      </c>
      <c r="J86" s="4">
        <v>1</v>
      </c>
      <c r="K86" s="4">
        <f t="shared" si="2"/>
        <v>5</v>
      </c>
      <c r="L86" s="4">
        <f t="shared" si="3"/>
        <v>13</v>
      </c>
    </row>
    <row r="87" spans="1:12">
      <c r="A87">
        <v>86</v>
      </c>
      <c r="B87" t="s">
        <v>185</v>
      </c>
      <c r="C87" t="s">
        <v>22</v>
      </c>
      <c r="D87" t="s">
        <v>186</v>
      </c>
      <c r="E87" s="3">
        <v>40.826690999999997</v>
      </c>
      <c r="F87" s="3">
        <v>14.764547</v>
      </c>
      <c r="G87" s="4">
        <v>12</v>
      </c>
      <c r="H87" s="4">
        <v>6</v>
      </c>
      <c r="I87" s="4">
        <v>1</v>
      </c>
      <c r="J87" s="4">
        <v>2</v>
      </c>
      <c r="K87" s="4">
        <f t="shared" si="2"/>
        <v>21</v>
      </c>
      <c r="L87" s="4">
        <f t="shared" si="3"/>
        <v>60</v>
      </c>
    </row>
    <row r="88" spans="1:12">
      <c r="A88">
        <v>87</v>
      </c>
      <c r="B88" t="s">
        <v>187</v>
      </c>
      <c r="C88" t="s">
        <v>22</v>
      </c>
      <c r="D88" t="s">
        <v>188</v>
      </c>
      <c r="E88" s="3">
        <v>40.822178999999998</v>
      </c>
      <c r="F88" s="3">
        <v>14.80753</v>
      </c>
      <c r="G88" s="4">
        <v>2</v>
      </c>
      <c r="H88" s="4">
        <v>6</v>
      </c>
      <c r="I88" s="4">
        <v>0</v>
      </c>
      <c r="J88" s="4">
        <v>0</v>
      </c>
      <c r="K88" s="4">
        <f t="shared" si="2"/>
        <v>8</v>
      </c>
      <c r="L88" s="4">
        <f t="shared" si="3"/>
        <v>24</v>
      </c>
    </row>
    <row r="89" spans="1:12">
      <c r="A89">
        <v>88</v>
      </c>
      <c r="B89" t="s">
        <v>189</v>
      </c>
      <c r="C89" t="s">
        <v>22</v>
      </c>
      <c r="D89" t="s">
        <v>190</v>
      </c>
      <c r="E89" s="3">
        <v>40.826774</v>
      </c>
      <c r="F89" s="3">
        <v>14.845916000000001</v>
      </c>
      <c r="G89" s="4">
        <v>4</v>
      </c>
      <c r="H89" s="4">
        <v>5</v>
      </c>
      <c r="I89" s="4">
        <v>0</v>
      </c>
      <c r="J89" s="4">
        <v>1</v>
      </c>
      <c r="K89" s="4">
        <f t="shared" si="2"/>
        <v>10</v>
      </c>
      <c r="L89" s="4">
        <f t="shared" si="3"/>
        <v>29</v>
      </c>
    </row>
    <row r="90" spans="1:12">
      <c r="A90">
        <v>89</v>
      </c>
      <c r="B90" t="s">
        <v>191</v>
      </c>
      <c r="C90" t="s">
        <v>22</v>
      </c>
      <c r="D90" t="s">
        <v>192</v>
      </c>
      <c r="E90" s="3">
        <v>41.041978999999998</v>
      </c>
      <c r="F90" s="3">
        <v>14.788451</v>
      </c>
      <c r="G90" s="4">
        <v>0</v>
      </c>
      <c r="H90" s="4">
        <v>2</v>
      </c>
      <c r="I90" s="4">
        <v>0</v>
      </c>
      <c r="J90" s="4">
        <v>1</v>
      </c>
      <c r="K90" s="4">
        <f t="shared" si="2"/>
        <v>3</v>
      </c>
      <c r="L90" s="4">
        <f t="shared" si="3"/>
        <v>8</v>
      </c>
    </row>
    <row r="91" spans="1:12">
      <c r="A91">
        <v>90</v>
      </c>
      <c r="B91" t="s">
        <v>193</v>
      </c>
      <c r="C91" t="s">
        <v>22</v>
      </c>
      <c r="D91" t="s">
        <v>194</v>
      </c>
      <c r="E91" s="3">
        <v>41.018838000000002</v>
      </c>
      <c r="F91" s="3">
        <v>14.819837</v>
      </c>
      <c r="G91" s="4">
        <v>8</v>
      </c>
      <c r="H91" s="4">
        <v>10</v>
      </c>
      <c r="I91" s="4">
        <v>0</v>
      </c>
      <c r="J91" s="4">
        <v>1</v>
      </c>
      <c r="K91" s="4">
        <f t="shared" si="2"/>
        <v>19</v>
      </c>
      <c r="L91" s="4">
        <f t="shared" si="3"/>
        <v>56</v>
      </c>
    </row>
    <row r="92" spans="1:12">
      <c r="A92">
        <v>91</v>
      </c>
      <c r="B92" t="s">
        <v>195</v>
      </c>
      <c r="C92" t="s">
        <v>22</v>
      </c>
      <c r="D92" t="s">
        <v>196</v>
      </c>
      <c r="E92" s="3">
        <v>40.945811999999997</v>
      </c>
      <c r="F92" s="3">
        <v>14.518357</v>
      </c>
      <c r="G92" s="4">
        <v>1</v>
      </c>
      <c r="H92" s="4">
        <v>2</v>
      </c>
      <c r="I92" s="4">
        <v>2</v>
      </c>
      <c r="J92" s="4">
        <v>1</v>
      </c>
      <c r="K92" s="4">
        <f t="shared" si="2"/>
        <v>6</v>
      </c>
      <c r="L92" s="4">
        <f t="shared" si="3"/>
        <v>15</v>
      </c>
    </row>
    <row r="93" spans="1:12">
      <c r="A93">
        <v>92</v>
      </c>
      <c r="B93" t="s">
        <v>197</v>
      </c>
      <c r="C93" t="s">
        <v>22</v>
      </c>
      <c r="D93" t="s">
        <v>198</v>
      </c>
      <c r="E93" s="3">
        <v>40.967584000000002</v>
      </c>
      <c r="F93" s="3">
        <v>14.180332999999999</v>
      </c>
      <c r="G93" s="4">
        <v>23</v>
      </c>
      <c r="H93" s="4">
        <v>37</v>
      </c>
      <c r="I93" s="4">
        <v>2</v>
      </c>
      <c r="J93" s="4">
        <v>3</v>
      </c>
      <c r="K93" s="4">
        <f t="shared" si="2"/>
        <v>65</v>
      </c>
      <c r="L93" s="4">
        <f t="shared" si="3"/>
        <v>190</v>
      </c>
    </row>
    <row r="94" spans="1:12">
      <c r="A94">
        <v>93</v>
      </c>
      <c r="B94" t="s">
        <v>199</v>
      </c>
      <c r="C94" t="s">
        <v>22</v>
      </c>
      <c r="D94" t="s">
        <v>200</v>
      </c>
      <c r="E94" s="3">
        <v>40.599395999999999</v>
      </c>
      <c r="F94" s="3">
        <v>14.349454</v>
      </c>
      <c r="G94" s="4">
        <v>179</v>
      </c>
      <c r="H94" s="4">
        <v>141</v>
      </c>
      <c r="I94" s="4">
        <v>250</v>
      </c>
      <c r="J94" s="4">
        <v>14</v>
      </c>
      <c r="K94" s="4">
        <f t="shared" si="2"/>
        <v>584</v>
      </c>
      <c r="L94" s="4">
        <f t="shared" si="3"/>
        <v>1488</v>
      </c>
    </row>
    <row r="95" spans="1:12">
      <c r="A95">
        <v>94</v>
      </c>
      <c r="B95" t="s">
        <v>201</v>
      </c>
      <c r="C95" t="s">
        <v>22</v>
      </c>
      <c r="D95" t="s">
        <v>202</v>
      </c>
      <c r="E95" s="3">
        <v>40.977688000000001</v>
      </c>
      <c r="F95" s="3">
        <v>14.262865</v>
      </c>
      <c r="G95" s="4">
        <v>3</v>
      </c>
      <c r="H95" s="4">
        <v>4</v>
      </c>
      <c r="I95" s="4">
        <v>1</v>
      </c>
      <c r="J95" s="4">
        <v>0</v>
      </c>
      <c r="K95" s="4">
        <f t="shared" si="2"/>
        <v>8</v>
      </c>
      <c r="L95" s="4">
        <f t="shared" si="3"/>
        <v>23</v>
      </c>
    </row>
    <row r="96" spans="1:12">
      <c r="A96">
        <v>95</v>
      </c>
      <c r="B96" t="s">
        <v>203</v>
      </c>
      <c r="C96" t="s">
        <v>22</v>
      </c>
      <c r="D96" t="s">
        <v>204</v>
      </c>
      <c r="E96" s="3">
        <v>41.015267999999999</v>
      </c>
      <c r="F96" s="3">
        <v>14.116980999999999</v>
      </c>
      <c r="G96" s="4">
        <v>1</v>
      </c>
      <c r="H96" s="4">
        <v>14</v>
      </c>
      <c r="I96" s="4">
        <v>0</v>
      </c>
      <c r="J96" s="4">
        <v>1</v>
      </c>
      <c r="K96" s="4">
        <f t="shared" si="2"/>
        <v>16</v>
      </c>
      <c r="L96" s="4">
        <f t="shared" si="3"/>
        <v>47</v>
      </c>
    </row>
    <row r="97" spans="1:12">
      <c r="A97">
        <v>96</v>
      </c>
      <c r="B97" t="s">
        <v>205</v>
      </c>
      <c r="C97" t="s">
        <v>22</v>
      </c>
      <c r="D97" t="s">
        <v>206</v>
      </c>
      <c r="E97" s="3">
        <v>41.001502000000002</v>
      </c>
      <c r="F97" s="3">
        <v>14.230781</v>
      </c>
      <c r="G97" s="4">
        <v>1</v>
      </c>
      <c r="H97" s="4">
        <v>1</v>
      </c>
      <c r="I97" s="4">
        <v>4</v>
      </c>
      <c r="J97" s="4">
        <v>1</v>
      </c>
      <c r="K97" s="4">
        <f t="shared" si="2"/>
        <v>7</v>
      </c>
      <c r="L97" s="4">
        <f t="shared" si="3"/>
        <v>16</v>
      </c>
    </row>
    <row r="98" spans="1:12">
      <c r="A98">
        <v>97</v>
      </c>
      <c r="B98" t="s">
        <v>207</v>
      </c>
      <c r="C98" t="s">
        <v>22</v>
      </c>
      <c r="D98" t="s">
        <v>208</v>
      </c>
      <c r="E98" s="3">
        <v>41.013675999999997</v>
      </c>
      <c r="F98" s="3">
        <v>14.178336</v>
      </c>
      <c r="G98" s="4">
        <v>0</v>
      </c>
      <c r="H98" s="4">
        <v>7</v>
      </c>
      <c r="I98" s="4">
        <v>0</v>
      </c>
      <c r="J98" s="4">
        <v>1</v>
      </c>
      <c r="K98" s="4">
        <f t="shared" si="2"/>
        <v>8</v>
      </c>
      <c r="L98" s="4">
        <f t="shared" si="3"/>
        <v>23</v>
      </c>
    </row>
    <row r="99" spans="1:12">
      <c r="A99">
        <v>98</v>
      </c>
      <c r="B99" t="s">
        <v>209</v>
      </c>
      <c r="C99" t="s">
        <v>22</v>
      </c>
      <c r="D99" t="s">
        <v>210</v>
      </c>
      <c r="E99" s="3">
        <v>41.063952</v>
      </c>
      <c r="F99" s="3">
        <v>14.194750000000001</v>
      </c>
      <c r="G99" s="4">
        <v>0</v>
      </c>
      <c r="H99" s="4">
        <v>10</v>
      </c>
      <c r="I99" s="4">
        <v>0</v>
      </c>
      <c r="J99" s="4">
        <v>1</v>
      </c>
      <c r="K99" s="4">
        <f t="shared" si="2"/>
        <v>11</v>
      </c>
      <c r="L99" s="4">
        <f t="shared" si="3"/>
        <v>32</v>
      </c>
    </row>
    <row r="100" spans="1:12">
      <c r="A100">
        <v>99</v>
      </c>
      <c r="B100" t="s">
        <v>211</v>
      </c>
      <c r="C100" t="s">
        <v>22</v>
      </c>
      <c r="D100" t="s">
        <v>212</v>
      </c>
      <c r="E100" s="3">
        <v>41.06664</v>
      </c>
      <c r="F100" s="3">
        <v>14.289519</v>
      </c>
      <c r="G100" s="4">
        <v>15</v>
      </c>
      <c r="H100" s="4">
        <v>15</v>
      </c>
      <c r="I100" s="4">
        <v>10</v>
      </c>
      <c r="J100" s="4">
        <v>1</v>
      </c>
      <c r="K100" s="4">
        <f t="shared" si="2"/>
        <v>41</v>
      </c>
      <c r="L100" s="4">
        <f t="shared" si="3"/>
        <v>112</v>
      </c>
    </row>
    <row r="101" spans="1:12">
      <c r="A101">
        <v>100</v>
      </c>
      <c r="B101" t="s">
        <v>213</v>
      </c>
      <c r="C101" t="s">
        <v>22</v>
      </c>
      <c r="D101" t="s">
        <v>214</v>
      </c>
      <c r="E101" s="3">
        <v>41.078935000000001</v>
      </c>
      <c r="F101" s="3">
        <v>14.257804</v>
      </c>
      <c r="G101" s="4">
        <v>37</v>
      </c>
      <c r="H101" s="4">
        <v>55</v>
      </c>
      <c r="I101" s="4">
        <v>4</v>
      </c>
      <c r="J101" s="4">
        <v>2</v>
      </c>
      <c r="K101" s="4">
        <f t="shared" si="2"/>
        <v>98</v>
      </c>
      <c r="L101" s="4">
        <f t="shared" si="3"/>
        <v>288</v>
      </c>
    </row>
    <row r="102" spans="1:12">
      <c r="A102">
        <v>101</v>
      </c>
      <c r="B102" t="s">
        <v>215</v>
      </c>
      <c r="C102" t="s">
        <v>13</v>
      </c>
      <c r="D102" t="s">
        <v>216</v>
      </c>
      <c r="E102" s="3">
        <v>40.836036999999997</v>
      </c>
      <c r="F102" s="3">
        <v>14.322236</v>
      </c>
      <c r="G102" s="4">
        <v>7</v>
      </c>
      <c r="H102" s="4">
        <v>14</v>
      </c>
      <c r="I102" s="4">
        <v>0</v>
      </c>
      <c r="J102" s="4">
        <v>1</v>
      </c>
      <c r="K102" s="4">
        <f t="shared" si="2"/>
        <v>22</v>
      </c>
      <c r="L102" s="4">
        <f t="shared" si="3"/>
        <v>65</v>
      </c>
    </row>
    <row r="103" spans="1:12">
      <c r="A103">
        <v>102</v>
      </c>
      <c r="B103" t="s">
        <v>217</v>
      </c>
      <c r="C103" t="s">
        <v>22</v>
      </c>
      <c r="D103" t="s">
        <v>218</v>
      </c>
      <c r="E103" s="3">
        <v>40.926031000000002</v>
      </c>
      <c r="F103" s="3">
        <v>14.326167</v>
      </c>
      <c r="G103" s="4">
        <v>4</v>
      </c>
      <c r="H103" s="4">
        <v>1</v>
      </c>
      <c r="I103" s="4">
        <v>0</v>
      </c>
      <c r="J103" s="4">
        <v>1</v>
      </c>
      <c r="K103" s="4">
        <f t="shared" si="2"/>
        <v>6</v>
      </c>
      <c r="L103" s="4">
        <f t="shared" si="3"/>
        <v>17</v>
      </c>
    </row>
    <row r="104" spans="1:12">
      <c r="A104">
        <v>103</v>
      </c>
      <c r="B104" t="s">
        <v>219</v>
      </c>
      <c r="C104" t="s">
        <v>22</v>
      </c>
      <c r="D104" t="s">
        <v>220</v>
      </c>
      <c r="E104" s="3">
        <v>41.176009999999998</v>
      </c>
      <c r="F104" s="3">
        <v>14.100979000000001</v>
      </c>
      <c r="G104" s="4">
        <v>1</v>
      </c>
      <c r="H104" s="4">
        <v>16</v>
      </c>
      <c r="I104" s="4">
        <v>0</v>
      </c>
      <c r="J104" s="4">
        <v>1</v>
      </c>
      <c r="K104" s="4">
        <f t="shared" si="2"/>
        <v>18</v>
      </c>
      <c r="L104" s="4">
        <f t="shared" si="3"/>
        <v>53</v>
      </c>
    </row>
    <row r="105" spans="1:12">
      <c r="A105">
        <v>104</v>
      </c>
      <c r="B105" t="s">
        <v>221</v>
      </c>
      <c r="C105" t="s">
        <v>22</v>
      </c>
      <c r="D105" t="s">
        <v>222</v>
      </c>
      <c r="E105" s="3">
        <v>41.185504000000002</v>
      </c>
      <c r="F105" s="3">
        <v>14.174272999999999</v>
      </c>
      <c r="G105" s="4">
        <v>4</v>
      </c>
      <c r="H105" s="4">
        <v>16</v>
      </c>
      <c r="I105" s="4">
        <v>0</v>
      </c>
      <c r="J105" s="4">
        <v>1</v>
      </c>
      <c r="K105" s="4">
        <f t="shared" si="2"/>
        <v>21</v>
      </c>
      <c r="L105" s="4">
        <f t="shared" si="3"/>
        <v>62</v>
      </c>
    </row>
    <row r="106" spans="1:12">
      <c r="A106">
        <v>105</v>
      </c>
      <c r="B106" t="s">
        <v>223</v>
      </c>
      <c r="C106" t="s">
        <v>22</v>
      </c>
      <c r="D106" t="s">
        <v>224</v>
      </c>
      <c r="E106" s="3">
        <v>41.059182</v>
      </c>
      <c r="F106" s="3">
        <v>14.453233000000001</v>
      </c>
      <c r="G106" s="4">
        <v>10</v>
      </c>
      <c r="H106" s="4">
        <v>40</v>
      </c>
      <c r="I106" s="4">
        <v>2</v>
      </c>
      <c r="J106" s="4">
        <v>0</v>
      </c>
      <c r="K106" s="4">
        <f t="shared" si="2"/>
        <v>52</v>
      </c>
      <c r="L106" s="4">
        <f t="shared" si="3"/>
        <v>154</v>
      </c>
    </row>
    <row r="107" spans="1:12">
      <c r="A107">
        <v>106</v>
      </c>
      <c r="B107" t="s">
        <v>225</v>
      </c>
      <c r="C107" t="s">
        <v>22</v>
      </c>
      <c r="D107" t="s">
        <v>226</v>
      </c>
      <c r="E107" s="3">
        <v>41.071980000000003</v>
      </c>
      <c r="F107" s="3">
        <v>14.639555</v>
      </c>
      <c r="G107" s="4">
        <v>6</v>
      </c>
      <c r="H107" s="4">
        <v>20</v>
      </c>
      <c r="I107" s="4">
        <v>3</v>
      </c>
      <c r="J107" s="4">
        <v>0</v>
      </c>
      <c r="K107" s="4">
        <f t="shared" si="2"/>
        <v>29</v>
      </c>
      <c r="L107" s="4">
        <f t="shared" si="3"/>
        <v>84</v>
      </c>
    </row>
    <row r="108" spans="1:12">
      <c r="A108">
        <v>107</v>
      </c>
      <c r="B108" t="s">
        <v>227</v>
      </c>
      <c r="C108" t="s">
        <v>22</v>
      </c>
      <c r="D108" t="s">
        <v>228</v>
      </c>
      <c r="E108" s="3">
        <v>40.215505999999998</v>
      </c>
      <c r="F108" s="3">
        <v>15.116433000000001</v>
      </c>
      <c r="G108" s="4">
        <v>36</v>
      </c>
      <c r="H108" s="4">
        <v>28</v>
      </c>
      <c r="I108" s="4">
        <v>22</v>
      </c>
      <c r="J108" s="4">
        <v>2</v>
      </c>
      <c r="K108" s="4">
        <f t="shared" si="2"/>
        <v>88</v>
      </c>
      <c r="L108" s="4">
        <f t="shared" si="3"/>
        <v>240</v>
      </c>
    </row>
    <row r="109" spans="1:12">
      <c r="A109">
        <v>108</v>
      </c>
      <c r="B109" t="s">
        <v>229</v>
      </c>
      <c r="C109" t="s">
        <v>22</v>
      </c>
      <c r="D109" t="s">
        <v>230</v>
      </c>
      <c r="E109" s="3">
        <v>40.292892999999999</v>
      </c>
      <c r="F109" s="3">
        <v>15.187044</v>
      </c>
      <c r="G109" s="4">
        <v>21</v>
      </c>
      <c r="H109" s="4">
        <v>9</v>
      </c>
      <c r="I109" s="4">
        <v>5</v>
      </c>
      <c r="J109" s="4">
        <v>0</v>
      </c>
      <c r="K109" s="4">
        <f t="shared" si="2"/>
        <v>35</v>
      </c>
      <c r="L109" s="4">
        <f t="shared" si="3"/>
        <v>100</v>
      </c>
    </row>
    <row r="110" spans="1:12">
      <c r="A110">
        <v>109</v>
      </c>
      <c r="B110" t="s">
        <v>231</v>
      </c>
      <c r="C110" t="s">
        <v>22</v>
      </c>
      <c r="D110" t="s">
        <v>232</v>
      </c>
      <c r="E110" s="3">
        <v>40.357205999999998</v>
      </c>
      <c r="F110" s="3">
        <v>15.116123</v>
      </c>
      <c r="G110" s="4">
        <v>24</v>
      </c>
      <c r="H110" s="4">
        <v>5</v>
      </c>
      <c r="I110" s="4">
        <v>3</v>
      </c>
      <c r="J110" s="4">
        <v>2</v>
      </c>
      <c r="K110" s="4">
        <f t="shared" si="2"/>
        <v>34</v>
      </c>
      <c r="L110" s="4">
        <f t="shared" si="3"/>
        <v>97</v>
      </c>
    </row>
    <row r="111" spans="1:12">
      <c r="A111">
        <v>110</v>
      </c>
      <c r="B111" t="s">
        <v>233</v>
      </c>
      <c r="C111" t="s">
        <v>22</v>
      </c>
      <c r="D111" t="s">
        <v>234</v>
      </c>
      <c r="E111" s="3">
        <v>41.027662999999997</v>
      </c>
      <c r="F111" s="3">
        <v>14.305342</v>
      </c>
      <c r="G111" s="4">
        <v>7</v>
      </c>
      <c r="H111" s="4">
        <v>7</v>
      </c>
      <c r="I111" s="4">
        <v>3</v>
      </c>
      <c r="J111" s="4">
        <v>1</v>
      </c>
      <c r="K111" s="4">
        <f t="shared" si="2"/>
        <v>18</v>
      </c>
      <c r="L111" s="4">
        <f t="shared" si="3"/>
        <v>50</v>
      </c>
    </row>
    <row r="112" spans="1:12">
      <c r="A112">
        <v>111</v>
      </c>
      <c r="B112" t="s">
        <v>235</v>
      </c>
      <c r="C112" t="s">
        <v>22</v>
      </c>
      <c r="D112" t="s">
        <v>236</v>
      </c>
      <c r="E112" s="3">
        <v>40.857807999999999</v>
      </c>
      <c r="F112" s="3">
        <v>14.383417</v>
      </c>
      <c r="G112" s="4">
        <v>2</v>
      </c>
      <c r="H112" s="4">
        <v>1</v>
      </c>
      <c r="I112" s="4">
        <v>2</v>
      </c>
      <c r="J112" s="4">
        <v>2</v>
      </c>
      <c r="K112" s="4">
        <f t="shared" si="2"/>
        <v>7</v>
      </c>
      <c r="L112" s="4">
        <f t="shared" si="3"/>
        <v>17</v>
      </c>
    </row>
    <row r="113" spans="1:12">
      <c r="A113">
        <v>112</v>
      </c>
      <c r="B113" t="s">
        <v>237</v>
      </c>
      <c r="C113" t="s">
        <v>22</v>
      </c>
      <c r="D113" t="s">
        <v>238</v>
      </c>
      <c r="E113" s="3">
        <v>41.013066000000002</v>
      </c>
      <c r="F113" s="3">
        <v>14.477639999999999</v>
      </c>
      <c r="G113" s="4">
        <v>6</v>
      </c>
      <c r="H113" s="4">
        <v>9</v>
      </c>
      <c r="I113" s="4">
        <v>1</v>
      </c>
      <c r="J113" s="4">
        <v>2</v>
      </c>
      <c r="K113" s="4">
        <f t="shared" si="2"/>
        <v>18</v>
      </c>
      <c r="L113" s="4">
        <f t="shared" si="3"/>
        <v>51</v>
      </c>
    </row>
    <row r="114" spans="1:12">
      <c r="A114">
        <v>113</v>
      </c>
      <c r="B114" t="s">
        <v>239</v>
      </c>
      <c r="C114" t="s">
        <v>22</v>
      </c>
      <c r="D114" t="s">
        <v>240</v>
      </c>
      <c r="E114" s="3">
        <v>41.056964000000001</v>
      </c>
      <c r="F114" s="3">
        <v>14.750779</v>
      </c>
      <c r="G114" s="4">
        <v>1</v>
      </c>
      <c r="H114" s="4">
        <v>10</v>
      </c>
      <c r="I114" s="4">
        <v>1</v>
      </c>
      <c r="J114" s="4">
        <v>1</v>
      </c>
      <c r="K114" s="4">
        <f t="shared" si="2"/>
        <v>13</v>
      </c>
      <c r="L114" s="4">
        <f t="shared" si="3"/>
        <v>37</v>
      </c>
    </row>
    <row r="115" spans="1:12">
      <c r="A115">
        <v>114</v>
      </c>
      <c r="B115" t="s">
        <v>241</v>
      </c>
      <c r="C115" t="s">
        <v>22</v>
      </c>
      <c r="D115" t="s">
        <v>242</v>
      </c>
      <c r="E115" s="3">
        <v>41.111193</v>
      </c>
      <c r="F115" s="3">
        <v>14.658699</v>
      </c>
      <c r="G115" s="4">
        <v>3</v>
      </c>
      <c r="H115" s="4">
        <v>8</v>
      </c>
      <c r="I115" s="4">
        <v>1</v>
      </c>
      <c r="J115" s="4">
        <v>0</v>
      </c>
      <c r="K115" s="4">
        <f t="shared" si="2"/>
        <v>12</v>
      </c>
      <c r="L115" s="4">
        <f t="shared" si="3"/>
        <v>35</v>
      </c>
    </row>
    <row r="116" spans="1:12">
      <c r="A116">
        <v>115</v>
      </c>
      <c r="B116" t="s">
        <v>243</v>
      </c>
      <c r="C116" t="s">
        <v>22</v>
      </c>
      <c r="D116" t="s">
        <v>244</v>
      </c>
      <c r="E116" s="3">
        <v>40.989846999999997</v>
      </c>
      <c r="F116" s="3">
        <v>14.051270000000001</v>
      </c>
      <c r="G116" s="4">
        <v>3</v>
      </c>
      <c r="H116" s="4">
        <v>1</v>
      </c>
      <c r="I116" s="4">
        <v>1</v>
      </c>
      <c r="J116" s="4">
        <v>1</v>
      </c>
      <c r="K116" s="4">
        <f t="shared" si="2"/>
        <v>6</v>
      </c>
      <c r="L116" s="4">
        <f t="shared" si="3"/>
        <v>16</v>
      </c>
    </row>
    <row r="117" spans="1:12">
      <c r="A117">
        <v>116</v>
      </c>
      <c r="B117" t="s">
        <v>245</v>
      </c>
      <c r="C117" t="s">
        <v>22</v>
      </c>
      <c r="D117" t="s">
        <v>246</v>
      </c>
      <c r="E117" s="3">
        <v>40.610149</v>
      </c>
      <c r="F117" s="3">
        <v>15.443841000000001</v>
      </c>
      <c r="G117" s="4">
        <v>13</v>
      </c>
      <c r="H117" s="4">
        <v>12</v>
      </c>
      <c r="I117" s="4">
        <v>3</v>
      </c>
      <c r="J117" s="4">
        <v>4</v>
      </c>
      <c r="K117" s="4">
        <f t="shared" si="2"/>
        <v>32</v>
      </c>
      <c r="L117" s="4">
        <f t="shared" si="3"/>
        <v>89</v>
      </c>
    </row>
    <row r="118" spans="1:12">
      <c r="A118">
        <v>117</v>
      </c>
      <c r="B118" t="s">
        <v>247</v>
      </c>
      <c r="C118" t="s">
        <v>22</v>
      </c>
      <c r="D118" t="s">
        <v>248</v>
      </c>
      <c r="E118" s="3">
        <v>41.319923000000003</v>
      </c>
      <c r="F118" s="3">
        <v>14.340852</v>
      </c>
      <c r="G118" s="4">
        <v>3</v>
      </c>
      <c r="H118" s="4">
        <v>14</v>
      </c>
      <c r="I118" s="4">
        <v>2</v>
      </c>
      <c r="J118" s="4">
        <v>3</v>
      </c>
      <c r="K118" s="4">
        <f t="shared" si="2"/>
        <v>22</v>
      </c>
      <c r="L118" s="4">
        <f t="shared" si="3"/>
        <v>61</v>
      </c>
    </row>
    <row r="119" spans="1:12">
      <c r="A119">
        <v>118</v>
      </c>
      <c r="B119" t="s">
        <v>249</v>
      </c>
      <c r="C119" t="s">
        <v>22</v>
      </c>
      <c r="D119" t="s">
        <v>250</v>
      </c>
      <c r="E119" s="3">
        <v>41.451174000000002</v>
      </c>
      <c r="F119" s="3">
        <v>14.210520000000001</v>
      </c>
      <c r="G119" s="4">
        <v>7</v>
      </c>
      <c r="H119" s="4">
        <v>8</v>
      </c>
      <c r="I119" s="4">
        <v>1</v>
      </c>
      <c r="J119" s="4">
        <v>0</v>
      </c>
      <c r="K119" s="4">
        <f t="shared" si="2"/>
        <v>16</v>
      </c>
      <c r="L119" s="4">
        <f t="shared" si="3"/>
        <v>47</v>
      </c>
    </row>
    <row r="120" spans="1:12">
      <c r="A120">
        <v>119</v>
      </c>
      <c r="B120" t="s">
        <v>251</v>
      </c>
      <c r="C120" t="s">
        <v>22</v>
      </c>
      <c r="D120" t="s">
        <v>252</v>
      </c>
      <c r="E120" s="3">
        <v>41.390846000000003</v>
      </c>
      <c r="F120" s="3">
        <v>14.184931000000001</v>
      </c>
      <c r="G120" s="4">
        <v>3</v>
      </c>
      <c r="H120" s="4">
        <v>11</v>
      </c>
      <c r="I120" s="4">
        <v>1</v>
      </c>
      <c r="J120" s="4">
        <v>0</v>
      </c>
      <c r="K120" s="4">
        <f t="shared" si="2"/>
        <v>15</v>
      </c>
      <c r="L120" s="4">
        <f t="shared" si="3"/>
        <v>44</v>
      </c>
    </row>
    <row r="121" spans="1:12">
      <c r="A121">
        <v>120</v>
      </c>
      <c r="B121" t="s">
        <v>253</v>
      </c>
      <c r="C121" t="s">
        <v>22</v>
      </c>
      <c r="D121" t="s">
        <v>254</v>
      </c>
      <c r="E121" s="3">
        <v>41.388280999999999</v>
      </c>
      <c r="F121" s="3">
        <v>14.392359000000001</v>
      </c>
      <c r="G121" s="4">
        <v>45</v>
      </c>
      <c r="H121" s="4">
        <v>20</v>
      </c>
      <c r="I121" s="4">
        <v>21</v>
      </c>
      <c r="J121" s="4">
        <v>0</v>
      </c>
      <c r="K121" s="4">
        <f t="shared" si="2"/>
        <v>86</v>
      </c>
      <c r="L121" s="4">
        <f t="shared" si="3"/>
        <v>237</v>
      </c>
    </row>
    <row r="122" spans="1:12">
      <c r="A122">
        <v>121</v>
      </c>
      <c r="B122" t="s">
        <v>255</v>
      </c>
      <c r="C122" t="s">
        <v>22</v>
      </c>
      <c r="D122" t="s">
        <v>256</v>
      </c>
      <c r="E122" s="3">
        <v>41.172023000000003</v>
      </c>
      <c r="F122" s="3">
        <v>14.375431000000001</v>
      </c>
      <c r="G122" s="4">
        <v>12</v>
      </c>
      <c r="H122" s="4">
        <v>18</v>
      </c>
      <c r="I122" s="4">
        <v>0</v>
      </c>
      <c r="J122" s="4">
        <v>4</v>
      </c>
      <c r="K122" s="4">
        <f t="shared" si="2"/>
        <v>34</v>
      </c>
      <c r="L122" s="4">
        <f t="shared" si="3"/>
        <v>98</v>
      </c>
    </row>
    <row r="123" spans="1:12">
      <c r="A123">
        <v>122</v>
      </c>
      <c r="B123" t="s">
        <v>257</v>
      </c>
      <c r="C123" t="s">
        <v>22</v>
      </c>
      <c r="D123" t="s">
        <v>258</v>
      </c>
      <c r="E123" s="3">
        <v>41.251987</v>
      </c>
      <c r="F123" s="3">
        <v>14.336696</v>
      </c>
      <c r="G123" s="4">
        <v>8</v>
      </c>
      <c r="H123" s="4">
        <v>8</v>
      </c>
      <c r="I123" s="4">
        <v>5</v>
      </c>
      <c r="J123" s="4">
        <v>3</v>
      </c>
      <c r="K123" s="4">
        <f t="shared" si="2"/>
        <v>24</v>
      </c>
      <c r="L123" s="4">
        <f t="shared" si="3"/>
        <v>64</v>
      </c>
    </row>
    <row r="124" spans="1:12">
      <c r="A124">
        <v>123</v>
      </c>
      <c r="B124" t="s">
        <v>259</v>
      </c>
      <c r="C124" t="s">
        <v>22</v>
      </c>
      <c r="D124" t="s">
        <v>260</v>
      </c>
      <c r="E124" s="3">
        <v>41.317428</v>
      </c>
      <c r="F124" s="3">
        <v>14.095337000000001</v>
      </c>
      <c r="G124" s="4">
        <v>2</v>
      </c>
      <c r="H124" s="4">
        <v>11</v>
      </c>
      <c r="I124" s="4">
        <v>4</v>
      </c>
      <c r="J124" s="4">
        <v>2</v>
      </c>
      <c r="K124" s="4">
        <f t="shared" si="2"/>
        <v>19</v>
      </c>
      <c r="L124" s="4">
        <f t="shared" si="3"/>
        <v>51</v>
      </c>
    </row>
    <row r="125" spans="1:12">
      <c r="A125">
        <v>124</v>
      </c>
      <c r="B125" t="s">
        <v>261</v>
      </c>
      <c r="C125" t="s">
        <v>22</v>
      </c>
      <c r="D125" t="s">
        <v>262</v>
      </c>
      <c r="E125" s="3">
        <v>41.364609999999999</v>
      </c>
      <c r="F125" s="3">
        <v>14.064298000000001</v>
      </c>
      <c r="G125" s="4">
        <v>5</v>
      </c>
      <c r="H125" s="4">
        <v>7</v>
      </c>
      <c r="I125" s="4">
        <v>0</v>
      </c>
      <c r="J125" s="4">
        <v>2</v>
      </c>
      <c r="K125" s="4">
        <f t="shared" si="2"/>
        <v>14</v>
      </c>
      <c r="L125" s="4">
        <f t="shared" si="3"/>
        <v>40</v>
      </c>
    </row>
    <row r="126" spans="1:12">
      <c r="A126">
        <v>125</v>
      </c>
      <c r="B126" t="s">
        <v>263</v>
      </c>
      <c r="C126" t="s">
        <v>22</v>
      </c>
      <c r="D126" t="s">
        <v>264</v>
      </c>
      <c r="E126" s="3">
        <v>41.23903</v>
      </c>
      <c r="F126" s="3">
        <v>14.078632000000001</v>
      </c>
      <c r="G126" s="4">
        <v>7</v>
      </c>
      <c r="H126" s="4">
        <v>18</v>
      </c>
      <c r="I126" s="4">
        <v>5</v>
      </c>
      <c r="J126" s="4">
        <v>2</v>
      </c>
      <c r="K126" s="4">
        <f t="shared" si="2"/>
        <v>32</v>
      </c>
      <c r="L126" s="4">
        <f t="shared" si="3"/>
        <v>89</v>
      </c>
    </row>
    <row r="127" spans="1:12">
      <c r="A127">
        <v>126</v>
      </c>
      <c r="B127" t="s">
        <v>265</v>
      </c>
      <c r="C127" t="s">
        <v>22</v>
      </c>
      <c r="D127" t="s">
        <v>266</v>
      </c>
      <c r="E127" s="3">
        <v>41.270417999999999</v>
      </c>
      <c r="F127" s="3">
        <v>14.194894</v>
      </c>
      <c r="G127" s="4">
        <v>18</v>
      </c>
      <c r="H127" s="4">
        <v>37</v>
      </c>
      <c r="I127" s="4">
        <v>3</v>
      </c>
      <c r="J127" s="4">
        <v>0</v>
      </c>
      <c r="K127" s="4">
        <f t="shared" si="2"/>
        <v>58</v>
      </c>
      <c r="L127" s="4">
        <f t="shared" si="3"/>
        <v>171</v>
      </c>
    </row>
    <row r="128" spans="1:12">
      <c r="A128">
        <v>127</v>
      </c>
      <c r="B128" t="s">
        <v>267</v>
      </c>
      <c r="C128" t="s">
        <v>22</v>
      </c>
      <c r="D128" t="s">
        <v>268</v>
      </c>
      <c r="E128" s="3">
        <v>41.365451999999998</v>
      </c>
      <c r="F128" s="3">
        <v>13.920052</v>
      </c>
      <c r="G128" s="4">
        <v>9</v>
      </c>
      <c r="H128" s="4">
        <v>7</v>
      </c>
      <c r="I128" s="4">
        <v>1</v>
      </c>
      <c r="J128" s="4">
        <v>0</v>
      </c>
      <c r="K128" s="4">
        <f t="shared" si="2"/>
        <v>17</v>
      </c>
      <c r="L128" s="4">
        <f t="shared" si="3"/>
        <v>50</v>
      </c>
    </row>
    <row r="129" spans="1:12">
      <c r="A129">
        <v>128</v>
      </c>
      <c r="B129" t="s">
        <v>269</v>
      </c>
      <c r="C129" t="s">
        <v>22</v>
      </c>
      <c r="D129" t="s">
        <v>270</v>
      </c>
      <c r="E129" s="3">
        <v>41.397477000000002</v>
      </c>
      <c r="F129" s="3">
        <v>13.982047</v>
      </c>
      <c r="G129" s="4">
        <v>9</v>
      </c>
      <c r="H129" s="4">
        <v>9</v>
      </c>
      <c r="I129" s="4">
        <v>1</v>
      </c>
      <c r="J129" s="4">
        <v>2</v>
      </c>
      <c r="K129" s="4">
        <f t="shared" si="2"/>
        <v>21</v>
      </c>
      <c r="L129" s="4">
        <f t="shared" si="3"/>
        <v>60</v>
      </c>
    </row>
    <row r="130" spans="1:12">
      <c r="A130">
        <v>129</v>
      </c>
      <c r="B130" t="s">
        <v>271</v>
      </c>
      <c r="C130" t="s">
        <v>22</v>
      </c>
      <c r="D130" t="s">
        <v>272</v>
      </c>
      <c r="E130" s="3">
        <v>41.160122000000001</v>
      </c>
      <c r="F130" s="3">
        <v>14.237962</v>
      </c>
      <c r="G130" s="4">
        <v>5</v>
      </c>
      <c r="H130" s="4">
        <v>7</v>
      </c>
      <c r="I130" s="4">
        <v>4</v>
      </c>
      <c r="J130" s="4">
        <v>4</v>
      </c>
      <c r="K130" s="4">
        <f t="shared" ref="K130:K193" si="4">SUM(G130:J130)</f>
        <v>20</v>
      </c>
      <c r="L130" s="4">
        <f t="shared" ref="L130:L193" si="5">3*G130+3*H130+2*I130+2*J130</f>
        <v>52</v>
      </c>
    </row>
    <row r="131" spans="1:12">
      <c r="A131">
        <v>130</v>
      </c>
      <c r="B131" t="s">
        <v>273</v>
      </c>
      <c r="C131" t="s">
        <v>22</v>
      </c>
      <c r="D131" t="s">
        <v>274</v>
      </c>
      <c r="E131" s="3">
        <v>40.516179999999999</v>
      </c>
      <c r="F131" s="3">
        <v>15.200286999999999</v>
      </c>
      <c r="G131" s="4">
        <v>13</v>
      </c>
      <c r="H131" s="4">
        <v>9</v>
      </c>
      <c r="I131" s="4">
        <v>5</v>
      </c>
      <c r="J131" s="4">
        <v>0</v>
      </c>
      <c r="K131" s="4">
        <f t="shared" si="4"/>
        <v>27</v>
      </c>
      <c r="L131" s="4">
        <f t="shared" si="5"/>
        <v>76</v>
      </c>
    </row>
    <row r="132" spans="1:12">
      <c r="A132">
        <v>131</v>
      </c>
      <c r="B132" t="s">
        <v>275</v>
      </c>
      <c r="C132" t="s">
        <v>22</v>
      </c>
      <c r="D132" t="s">
        <v>276</v>
      </c>
      <c r="E132" s="3">
        <v>41.086030000000001</v>
      </c>
      <c r="F132" s="3">
        <v>14.102772999999999</v>
      </c>
      <c r="G132" s="4">
        <v>0</v>
      </c>
      <c r="H132" s="4">
        <v>1</v>
      </c>
      <c r="I132" s="4">
        <v>0</v>
      </c>
      <c r="J132" s="4">
        <v>1</v>
      </c>
      <c r="K132" s="4">
        <f t="shared" si="4"/>
        <v>2</v>
      </c>
      <c r="L132" s="4">
        <f t="shared" si="5"/>
        <v>5</v>
      </c>
    </row>
    <row r="133" spans="1:12">
      <c r="A133">
        <v>132</v>
      </c>
      <c r="B133" t="s">
        <v>277</v>
      </c>
      <c r="C133" t="s">
        <v>22</v>
      </c>
      <c r="D133" t="s">
        <v>278</v>
      </c>
      <c r="E133" s="3">
        <v>41.037643000000003</v>
      </c>
      <c r="F133" s="3">
        <v>14.402248999999999</v>
      </c>
      <c r="G133" s="4">
        <v>21</v>
      </c>
      <c r="H133" s="4">
        <v>34</v>
      </c>
      <c r="I133" s="4">
        <v>2</v>
      </c>
      <c r="J133" s="4">
        <v>1</v>
      </c>
      <c r="K133" s="4">
        <f t="shared" si="4"/>
        <v>58</v>
      </c>
      <c r="L133" s="4">
        <f t="shared" si="5"/>
        <v>171</v>
      </c>
    </row>
    <row r="134" spans="1:12">
      <c r="A134">
        <v>133</v>
      </c>
      <c r="B134" t="s">
        <v>279</v>
      </c>
      <c r="C134" t="s">
        <v>22</v>
      </c>
      <c r="D134" t="s">
        <v>280</v>
      </c>
      <c r="E134" s="3">
        <v>41.062150000000003</v>
      </c>
      <c r="F134" s="3">
        <v>13.969429999999999</v>
      </c>
      <c r="G134" s="4">
        <v>2</v>
      </c>
      <c r="H134" s="4">
        <v>42</v>
      </c>
      <c r="I134" s="4">
        <v>5</v>
      </c>
      <c r="J134" s="4">
        <v>2</v>
      </c>
      <c r="K134" s="4">
        <f t="shared" si="4"/>
        <v>51</v>
      </c>
      <c r="L134" s="4">
        <f t="shared" si="5"/>
        <v>146</v>
      </c>
    </row>
    <row r="135" spans="1:12">
      <c r="A135">
        <v>134</v>
      </c>
      <c r="B135" t="s">
        <v>281</v>
      </c>
      <c r="C135" t="s">
        <v>22</v>
      </c>
      <c r="D135" t="s">
        <v>282</v>
      </c>
      <c r="E135" s="3">
        <v>41.231589999999997</v>
      </c>
      <c r="F135" s="3">
        <v>13.882498</v>
      </c>
      <c r="G135" s="4">
        <v>6</v>
      </c>
      <c r="H135" s="4">
        <v>19</v>
      </c>
      <c r="I135" s="4">
        <v>2</v>
      </c>
      <c r="J135" s="4">
        <v>0</v>
      </c>
      <c r="K135" s="4">
        <f t="shared" si="4"/>
        <v>27</v>
      </c>
      <c r="L135" s="4">
        <f t="shared" si="5"/>
        <v>79</v>
      </c>
    </row>
    <row r="136" spans="1:12">
      <c r="A136">
        <v>135</v>
      </c>
      <c r="B136" t="s">
        <v>283</v>
      </c>
      <c r="C136" t="s">
        <v>22</v>
      </c>
      <c r="D136" t="s">
        <v>284</v>
      </c>
      <c r="E136" s="3">
        <v>41.163564000000001</v>
      </c>
      <c r="F136" s="3">
        <v>14.000836</v>
      </c>
      <c r="G136" s="4">
        <v>2</v>
      </c>
      <c r="H136" s="4">
        <v>12</v>
      </c>
      <c r="I136" s="4">
        <v>0</v>
      </c>
      <c r="J136" s="4">
        <v>1</v>
      </c>
      <c r="K136" s="4">
        <f t="shared" si="4"/>
        <v>15</v>
      </c>
      <c r="L136" s="4">
        <f t="shared" si="5"/>
        <v>44</v>
      </c>
    </row>
    <row r="137" spans="1:12">
      <c r="A137">
        <v>136</v>
      </c>
      <c r="B137" t="s">
        <v>285</v>
      </c>
      <c r="C137" t="s">
        <v>22</v>
      </c>
      <c r="D137" t="s">
        <v>286</v>
      </c>
      <c r="E137" s="3">
        <v>41.028711000000001</v>
      </c>
      <c r="F137" s="3">
        <v>15.397805</v>
      </c>
      <c r="G137" s="4">
        <v>19</v>
      </c>
      <c r="H137" s="4">
        <v>33</v>
      </c>
      <c r="I137" s="4">
        <v>4</v>
      </c>
      <c r="J137" s="4">
        <v>1</v>
      </c>
      <c r="K137" s="4">
        <f t="shared" si="4"/>
        <v>57</v>
      </c>
      <c r="L137" s="4">
        <f t="shared" si="5"/>
        <v>166</v>
      </c>
    </row>
    <row r="138" spans="1:12">
      <c r="A138">
        <v>137</v>
      </c>
      <c r="B138" t="s">
        <v>287</v>
      </c>
      <c r="C138" t="s">
        <v>22</v>
      </c>
      <c r="D138" t="s">
        <v>288</v>
      </c>
      <c r="E138" s="3">
        <v>40.993012</v>
      </c>
      <c r="F138" s="3">
        <v>15.510094</v>
      </c>
      <c r="G138" s="4">
        <v>52</v>
      </c>
      <c r="H138" s="4">
        <v>41</v>
      </c>
      <c r="I138" s="4">
        <v>20</v>
      </c>
      <c r="J138" s="4">
        <v>10</v>
      </c>
      <c r="K138" s="4">
        <f t="shared" si="4"/>
        <v>123</v>
      </c>
      <c r="L138" s="4">
        <f t="shared" si="5"/>
        <v>339</v>
      </c>
    </row>
    <row r="139" spans="1:12">
      <c r="A139">
        <v>138</v>
      </c>
      <c r="B139" t="s">
        <v>289</v>
      </c>
      <c r="C139" t="s">
        <v>22</v>
      </c>
      <c r="D139" t="s">
        <v>290</v>
      </c>
      <c r="E139" s="3">
        <v>40.900846999999999</v>
      </c>
      <c r="F139" s="3">
        <v>15.329026000000001</v>
      </c>
      <c r="G139" s="4">
        <v>8</v>
      </c>
      <c r="H139" s="4">
        <v>17</v>
      </c>
      <c r="I139" s="4">
        <v>1</v>
      </c>
      <c r="J139" s="4">
        <v>3</v>
      </c>
      <c r="K139" s="4">
        <f t="shared" si="4"/>
        <v>29</v>
      </c>
      <c r="L139" s="4">
        <f t="shared" si="5"/>
        <v>83</v>
      </c>
    </row>
    <row r="140" spans="1:12">
      <c r="A140">
        <v>139</v>
      </c>
      <c r="B140" t="s">
        <v>291</v>
      </c>
      <c r="C140" t="s">
        <v>22</v>
      </c>
      <c r="D140" t="s">
        <v>292</v>
      </c>
      <c r="E140" s="3">
        <v>40.923169000000001</v>
      </c>
      <c r="F140" s="3">
        <v>15.446709999999999</v>
      </c>
      <c r="G140" s="4">
        <v>9</v>
      </c>
      <c r="H140" s="4">
        <v>5</v>
      </c>
      <c r="I140" s="4">
        <v>7</v>
      </c>
      <c r="J140" s="4">
        <v>4</v>
      </c>
      <c r="K140" s="4">
        <f t="shared" si="4"/>
        <v>25</v>
      </c>
      <c r="L140" s="4">
        <f t="shared" si="5"/>
        <v>64</v>
      </c>
    </row>
    <row r="141" spans="1:12">
      <c r="A141">
        <v>140</v>
      </c>
      <c r="B141" t="s">
        <v>293</v>
      </c>
      <c r="C141" t="s">
        <v>22</v>
      </c>
      <c r="D141" t="s">
        <v>294</v>
      </c>
      <c r="E141" s="3">
        <v>40.945898999999997</v>
      </c>
      <c r="F141" s="3">
        <v>15.210966000000001</v>
      </c>
      <c r="G141" s="4">
        <v>8</v>
      </c>
      <c r="H141" s="4">
        <v>13</v>
      </c>
      <c r="I141" s="4">
        <v>1</v>
      </c>
      <c r="J141" s="4">
        <v>0</v>
      </c>
      <c r="K141" s="4">
        <f t="shared" si="4"/>
        <v>22</v>
      </c>
      <c r="L141" s="4">
        <f t="shared" si="5"/>
        <v>65</v>
      </c>
    </row>
    <row r="142" spans="1:12">
      <c r="A142">
        <v>141</v>
      </c>
      <c r="B142" t="s">
        <v>295</v>
      </c>
      <c r="C142" t="s">
        <v>22</v>
      </c>
      <c r="D142" t="s">
        <v>296</v>
      </c>
      <c r="E142" s="3">
        <v>40.861477999999998</v>
      </c>
      <c r="F142" s="3">
        <v>15.205327</v>
      </c>
      <c r="G142" s="4">
        <v>1</v>
      </c>
      <c r="H142" s="4">
        <v>1</v>
      </c>
      <c r="I142" s="4">
        <v>1</v>
      </c>
      <c r="J142" s="4">
        <v>5</v>
      </c>
      <c r="K142" s="4">
        <f t="shared" si="4"/>
        <v>8</v>
      </c>
      <c r="L142" s="4">
        <f t="shared" si="5"/>
        <v>18</v>
      </c>
    </row>
    <row r="143" spans="1:12">
      <c r="A143">
        <v>142</v>
      </c>
      <c r="B143" t="s">
        <v>297</v>
      </c>
      <c r="C143" t="s">
        <v>22</v>
      </c>
      <c r="D143" t="s">
        <v>298</v>
      </c>
      <c r="E143" s="3">
        <v>40.779814999999999</v>
      </c>
      <c r="F143" s="3">
        <v>15.205272000000001</v>
      </c>
      <c r="G143" s="4">
        <v>12</v>
      </c>
      <c r="H143" s="4">
        <v>4</v>
      </c>
      <c r="I143" s="4">
        <v>1</v>
      </c>
      <c r="J143" s="4">
        <v>0</v>
      </c>
      <c r="K143" s="4">
        <f t="shared" si="4"/>
        <v>17</v>
      </c>
      <c r="L143" s="4">
        <f t="shared" si="5"/>
        <v>50</v>
      </c>
    </row>
    <row r="144" spans="1:12">
      <c r="A144">
        <v>143</v>
      </c>
      <c r="B144" t="s">
        <v>299</v>
      </c>
      <c r="C144" t="s">
        <v>22</v>
      </c>
      <c r="D144" t="s">
        <v>300</v>
      </c>
      <c r="E144" s="3">
        <v>40.599997999999999</v>
      </c>
      <c r="F144" s="3">
        <v>15.29997</v>
      </c>
      <c r="G144" s="4">
        <v>20</v>
      </c>
      <c r="H144" s="4">
        <v>4</v>
      </c>
      <c r="I144" s="4">
        <v>7</v>
      </c>
      <c r="J144" s="4">
        <v>4</v>
      </c>
      <c r="K144" s="4">
        <f t="shared" si="4"/>
        <v>35</v>
      </c>
      <c r="L144" s="4">
        <f t="shared" si="5"/>
        <v>94</v>
      </c>
    </row>
    <row r="145" spans="1:12">
      <c r="A145">
        <v>144</v>
      </c>
      <c r="B145" t="s">
        <v>301</v>
      </c>
      <c r="C145" t="s">
        <v>22</v>
      </c>
      <c r="D145" t="s">
        <v>302</v>
      </c>
      <c r="E145" s="3">
        <v>40.673091999999997</v>
      </c>
      <c r="F145" s="3">
        <v>15.412261000000001</v>
      </c>
      <c r="G145" s="4">
        <v>9</v>
      </c>
      <c r="H145" s="4">
        <v>4</v>
      </c>
      <c r="I145" s="4">
        <v>5</v>
      </c>
      <c r="J145" s="4">
        <v>2</v>
      </c>
      <c r="K145" s="4">
        <f t="shared" si="4"/>
        <v>20</v>
      </c>
      <c r="L145" s="4">
        <f t="shared" si="5"/>
        <v>53</v>
      </c>
    </row>
    <row r="146" spans="1:12">
      <c r="A146">
        <v>145</v>
      </c>
      <c r="B146" t="s">
        <v>303</v>
      </c>
      <c r="C146" t="s">
        <v>22</v>
      </c>
      <c r="D146" t="s">
        <v>304</v>
      </c>
      <c r="E146" s="3">
        <v>40.627406000000001</v>
      </c>
      <c r="F146" s="3">
        <v>15.362652000000001</v>
      </c>
      <c r="G146" s="4">
        <v>8</v>
      </c>
      <c r="H146" s="4">
        <v>6</v>
      </c>
      <c r="I146" s="4">
        <v>1</v>
      </c>
      <c r="J146" s="4">
        <v>2</v>
      </c>
      <c r="K146" s="4">
        <f t="shared" si="4"/>
        <v>17</v>
      </c>
      <c r="L146" s="4">
        <f t="shared" si="5"/>
        <v>48</v>
      </c>
    </row>
    <row r="147" spans="1:12">
      <c r="A147">
        <v>146</v>
      </c>
      <c r="B147" t="s">
        <v>305</v>
      </c>
      <c r="C147" t="s">
        <v>22</v>
      </c>
      <c r="D147" t="s">
        <v>306</v>
      </c>
      <c r="E147" s="3">
        <v>40.703856999999999</v>
      </c>
      <c r="F147" s="3">
        <v>15.265924999999999</v>
      </c>
      <c r="G147" s="4">
        <v>16</v>
      </c>
      <c r="H147" s="4">
        <v>12</v>
      </c>
      <c r="I147" s="4">
        <v>7</v>
      </c>
      <c r="J147" s="4">
        <v>0</v>
      </c>
      <c r="K147" s="4">
        <f t="shared" si="4"/>
        <v>35</v>
      </c>
      <c r="L147" s="4">
        <f t="shared" si="5"/>
        <v>98</v>
      </c>
    </row>
    <row r="148" spans="1:12">
      <c r="A148">
        <v>147</v>
      </c>
      <c r="B148" t="s">
        <v>307</v>
      </c>
      <c r="C148" t="s">
        <v>22</v>
      </c>
      <c r="D148" t="s">
        <v>308</v>
      </c>
      <c r="E148" s="3">
        <v>40.260209000000003</v>
      </c>
      <c r="F148" s="3">
        <v>15.069718</v>
      </c>
      <c r="G148" s="4">
        <v>20</v>
      </c>
      <c r="H148" s="4">
        <v>14</v>
      </c>
      <c r="I148" s="4">
        <v>9</v>
      </c>
      <c r="J148" s="4">
        <v>0</v>
      </c>
      <c r="K148" s="4">
        <f t="shared" si="4"/>
        <v>43</v>
      </c>
      <c r="L148" s="4">
        <f t="shared" si="5"/>
        <v>120</v>
      </c>
    </row>
    <row r="149" spans="1:12">
      <c r="A149">
        <v>148</v>
      </c>
      <c r="B149" t="s">
        <v>309</v>
      </c>
      <c r="C149" t="s">
        <v>22</v>
      </c>
      <c r="D149" t="s">
        <v>310</v>
      </c>
      <c r="E149" s="3">
        <v>41.339531000000001</v>
      </c>
      <c r="F149" s="3">
        <v>14.696337</v>
      </c>
      <c r="G149" s="4">
        <v>52</v>
      </c>
      <c r="H149" s="4">
        <v>268</v>
      </c>
      <c r="I149" s="4">
        <v>6</v>
      </c>
      <c r="J149" s="4">
        <v>4</v>
      </c>
      <c r="K149" s="4">
        <f t="shared" si="4"/>
        <v>330</v>
      </c>
      <c r="L149" s="4">
        <f t="shared" si="5"/>
        <v>980</v>
      </c>
    </row>
    <row r="150" spans="1:12">
      <c r="A150">
        <v>149</v>
      </c>
      <c r="B150" t="s">
        <v>311</v>
      </c>
      <c r="C150" t="s">
        <v>22</v>
      </c>
      <c r="D150" t="s">
        <v>312</v>
      </c>
      <c r="E150" s="3">
        <v>41.204397</v>
      </c>
      <c r="F150" s="3">
        <v>14.552883</v>
      </c>
      <c r="G150" s="4">
        <v>21</v>
      </c>
      <c r="H150" s="4">
        <v>21</v>
      </c>
      <c r="I150" s="4">
        <v>6</v>
      </c>
      <c r="J150" s="4">
        <v>2</v>
      </c>
      <c r="K150" s="4">
        <f t="shared" si="4"/>
        <v>50</v>
      </c>
      <c r="L150" s="4">
        <f t="shared" si="5"/>
        <v>142</v>
      </c>
    </row>
    <row r="151" spans="1:12">
      <c r="A151">
        <v>150</v>
      </c>
      <c r="B151" t="s">
        <v>313</v>
      </c>
      <c r="C151" t="s">
        <v>22</v>
      </c>
      <c r="D151" t="s">
        <v>314</v>
      </c>
      <c r="E151" s="3">
        <v>41.326743999999998</v>
      </c>
      <c r="F151" s="3">
        <v>14.543421</v>
      </c>
      <c r="G151" s="4">
        <v>36</v>
      </c>
      <c r="H151" s="4">
        <v>56</v>
      </c>
      <c r="I151" s="4">
        <v>15</v>
      </c>
      <c r="J151" s="4">
        <v>0</v>
      </c>
      <c r="K151" s="4">
        <f t="shared" si="4"/>
        <v>107</v>
      </c>
      <c r="L151" s="4">
        <f t="shared" si="5"/>
        <v>306</v>
      </c>
    </row>
    <row r="152" spans="1:12">
      <c r="A152">
        <v>151</v>
      </c>
      <c r="B152" t="s">
        <v>315</v>
      </c>
      <c r="C152" t="s">
        <v>22</v>
      </c>
      <c r="D152" t="s">
        <v>316</v>
      </c>
      <c r="E152" s="3">
        <v>41.119374000000001</v>
      </c>
      <c r="F152" s="3">
        <v>14.481275999999999</v>
      </c>
      <c r="G152" s="4">
        <v>12</v>
      </c>
      <c r="H152" s="4">
        <v>40</v>
      </c>
      <c r="I152" s="4">
        <v>12</v>
      </c>
      <c r="J152" s="4">
        <v>2</v>
      </c>
      <c r="K152" s="4">
        <f t="shared" si="4"/>
        <v>66</v>
      </c>
      <c r="L152" s="4">
        <f t="shared" si="5"/>
        <v>184</v>
      </c>
    </row>
    <row r="153" spans="1:12">
      <c r="A153">
        <v>152</v>
      </c>
      <c r="B153" t="s">
        <v>317</v>
      </c>
      <c r="C153" t="s">
        <v>22</v>
      </c>
      <c r="D153" t="s">
        <v>318</v>
      </c>
      <c r="E153" s="3">
        <v>40.837879000000001</v>
      </c>
      <c r="F153" s="3">
        <v>15.062404000000001</v>
      </c>
      <c r="G153" s="4">
        <v>21</v>
      </c>
      <c r="H153" s="4">
        <v>14</v>
      </c>
      <c r="I153" s="4">
        <v>13</v>
      </c>
      <c r="J153" s="4">
        <v>4</v>
      </c>
      <c r="K153" s="4">
        <f t="shared" si="4"/>
        <v>52</v>
      </c>
      <c r="L153" s="4">
        <f t="shared" si="5"/>
        <v>139</v>
      </c>
    </row>
    <row r="154" spans="1:12">
      <c r="A154">
        <v>153</v>
      </c>
      <c r="B154" t="s">
        <v>319</v>
      </c>
      <c r="C154" t="s">
        <v>22</v>
      </c>
      <c r="D154" t="s">
        <v>320</v>
      </c>
      <c r="E154" s="3">
        <v>40.938147000000001</v>
      </c>
      <c r="F154" s="3">
        <v>15.030559999999999</v>
      </c>
      <c r="G154" s="4">
        <v>2</v>
      </c>
      <c r="H154" s="4">
        <v>7</v>
      </c>
      <c r="I154" s="4">
        <v>1</v>
      </c>
      <c r="J154" s="4">
        <v>3</v>
      </c>
      <c r="K154" s="4">
        <f t="shared" si="4"/>
        <v>13</v>
      </c>
      <c r="L154" s="4">
        <f t="shared" si="5"/>
        <v>35</v>
      </c>
    </row>
    <row r="155" spans="1:12">
      <c r="A155">
        <v>154</v>
      </c>
      <c r="B155" t="s">
        <v>321</v>
      </c>
      <c r="C155" t="s">
        <v>22</v>
      </c>
      <c r="D155" t="s">
        <v>322</v>
      </c>
      <c r="E155" s="3">
        <v>40.993279000000001</v>
      </c>
      <c r="F155" s="3">
        <v>14.918227</v>
      </c>
      <c r="G155" s="4">
        <v>3</v>
      </c>
      <c r="H155" s="4">
        <v>4</v>
      </c>
      <c r="I155" s="4">
        <v>2</v>
      </c>
      <c r="J155" s="4">
        <v>2</v>
      </c>
      <c r="K155" s="4">
        <f t="shared" si="4"/>
        <v>11</v>
      </c>
      <c r="L155" s="4">
        <f t="shared" si="5"/>
        <v>29</v>
      </c>
    </row>
    <row r="156" spans="1:12">
      <c r="A156">
        <v>155</v>
      </c>
      <c r="B156" t="s">
        <v>323</v>
      </c>
      <c r="C156" t="s">
        <v>22</v>
      </c>
      <c r="D156" t="s">
        <v>324</v>
      </c>
      <c r="E156" s="3">
        <v>40.897438999999999</v>
      </c>
      <c r="F156" s="3">
        <v>14.930949999999999</v>
      </c>
      <c r="G156" s="4">
        <v>4</v>
      </c>
      <c r="H156" s="4">
        <v>6</v>
      </c>
      <c r="I156" s="4">
        <v>0</v>
      </c>
      <c r="J156" s="4">
        <v>0</v>
      </c>
      <c r="K156" s="4">
        <f t="shared" si="4"/>
        <v>10</v>
      </c>
      <c r="L156" s="4">
        <f t="shared" si="5"/>
        <v>30</v>
      </c>
    </row>
    <row r="157" spans="1:12">
      <c r="A157">
        <v>156</v>
      </c>
      <c r="B157" t="s">
        <v>325</v>
      </c>
      <c r="C157" t="s">
        <v>22</v>
      </c>
      <c r="D157" t="s">
        <v>326</v>
      </c>
      <c r="E157" s="3">
        <v>40.668779000000001</v>
      </c>
      <c r="F157" s="3">
        <v>14.703256</v>
      </c>
      <c r="G157" s="4">
        <v>46</v>
      </c>
      <c r="H157" s="4">
        <v>38</v>
      </c>
      <c r="I157" s="4">
        <v>28</v>
      </c>
      <c r="J157" s="4">
        <v>2</v>
      </c>
      <c r="K157" s="4">
        <f t="shared" si="4"/>
        <v>114</v>
      </c>
      <c r="L157" s="4">
        <f t="shared" si="5"/>
        <v>312</v>
      </c>
    </row>
    <row r="158" spans="1:12">
      <c r="A158">
        <v>157</v>
      </c>
      <c r="B158" t="s">
        <v>327</v>
      </c>
      <c r="C158" t="s">
        <v>22</v>
      </c>
      <c r="D158" t="s">
        <v>328</v>
      </c>
      <c r="E158" s="3">
        <v>40.696178000000003</v>
      </c>
      <c r="F158" s="3">
        <v>14.481278</v>
      </c>
      <c r="G158" s="4">
        <v>38</v>
      </c>
      <c r="H158" s="4">
        <v>62</v>
      </c>
      <c r="I158" s="4">
        <v>14</v>
      </c>
      <c r="J158" s="4">
        <v>5</v>
      </c>
      <c r="K158" s="4">
        <f t="shared" si="4"/>
        <v>119</v>
      </c>
      <c r="L158" s="4">
        <f t="shared" si="5"/>
        <v>338</v>
      </c>
    </row>
    <row r="159" spans="1:12">
      <c r="A159">
        <v>158</v>
      </c>
      <c r="B159" t="s">
        <v>329</v>
      </c>
      <c r="C159" t="s">
        <v>22</v>
      </c>
      <c r="D159" t="s">
        <v>330</v>
      </c>
      <c r="E159" s="3">
        <v>40.750861</v>
      </c>
      <c r="F159" s="3">
        <v>14.458561</v>
      </c>
      <c r="G159" s="4">
        <v>10</v>
      </c>
      <c r="H159" s="4">
        <v>22</v>
      </c>
      <c r="I159" s="4">
        <v>14</v>
      </c>
      <c r="J159" s="4">
        <v>4</v>
      </c>
      <c r="K159" s="4">
        <f t="shared" si="4"/>
        <v>50</v>
      </c>
      <c r="L159" s="4">
        <f t="shared" si="5"/>
        <v>132</v>
      </c>
    </row>
    <row r="160" spans="1:12">
      <c r="A160">
        <v>159</v>
      </c>
      <c r="B160" t="s">
        <v>331</v>
      </c>
      <c r="C160" t="s">
        <v>22</v>
      </c>
      <c r="D160" t="s">
        <v>332</v>
      </c>
      <c r="E160" s="3">
        <v>40.673882999999996</v>
      </c>
      <c r="F160" s="3">
        <v>14.628076</v>
      </c>
      <c r="G160" s="4">
        <v>120</v>
      </c>
      <c r="H160" s="4">
        <v>38</v>
      </c>
      <c r="I160" s="4">
        <v>98</v>
      </c>
      <c r="J160" s="4">
        <v>4</v>
      </c>
      <c r="K160" s="4">
        <f t="shared" si="4"/>
        <v>260</v>
      </c>
      <c r="L160" s="4">
        <f t="shared" si="5"/>
        <v>678</v>
      </c>
    </row>
    <row r="161" spans="1:12">
      <c r="A161">
        <v>160</v>
      </c>
      <c r="B161" t="s">
        <v>333</v>
      </c>
      <c r="C161" t="s">
        <v>22</v>
      </c>
      <c r="D161" t="s">
        <v>334</v>
      </c>
      <c r="E161" s="3">
        <v>40.629240000000003</v>
      </c>
      <c r="F161" s="3">
        <v>14.532356999999999</v>
      </c>
      <c r="G161" s="4">
        <v>91</v>
      </c>
      <c r="H161" s="4">
        <v>21</v>
      </c>
      <c r="I161" s="4">
        <v>98</v>
      </c>
      <c r="J161" s="4">
        <v>2</v>
      </c>
      <c r="K161" s="4">
        <f t="shared" si="4"/>
        <v>212</v>
      </c>
      <c r="L161" s="4">
        <f t="shared" si="5"/>
        <v>536</v>
      </c>
    </row>
    <row r="162" spans="1:12">
      <c r="A162">
        <v>161</v>
      </c>
      <c r="B162" t="s">
        <v>335</v>
      </c>
      <c r="C162" t="s">
        <v>22</v>
      </c>
      <c r="D162" t="s">
        <v>336</v>
      </c>
      <c r="E162" s="3">
        <v>40.798934000000003</v>
      </c>
      <c r="F162" s="3">
        <v>14.694017000000001</v>
      </c>
      <c r="G162" s="4">
        <v>8</v>
      </c>
      <c r="H162" s="4">
        <v>6</v>
      </c>
      <c r="I162" s="4">
        <v>0</v>
      </c>
      <c r="J162" s="4">
        <v>0</v>
      </c>
      <c r="K162" s="4">
        <f t="shared" si="4"/>
        <v>14</v>
      </c>
      <c r="L162" s="4">
        <f t="shared" si="5"/>
        <v>42</v>
      </c>
    </row>
    <row r="163" spans="1:12">
      <c r="A163">
        <v>162</v>
      </c>
      <c r="B163" t="s">
        <v>337</v>
      </c>
      <c r="C163" t="s">
        <v>22</v>
      </c>
      <c r="D163" t="s">
        <v>338</v>
      </c>
      <c r="E163" s="3">
        <v>40.786664999999999</v>
      </c>
      <c r="F163" s="3">
        <v>15.33136</v>
      </c>
      <c r="G163" s="4">
        <v>4</v>
      </c>
      <c r="H163" s="4">
        <v>10</v>
      </c>
      <c r="I163" s="4">
        <v>3</v>
      </c>
      <c r="J163" s="4">
        <v>0</v>
      </c>
      <c r="K163" s="4">
        <f t="shared" si="4"/>
        <v>17</v>
      </c>
      <c r="L163" s="4">
        <f t="shared" si="5"/>
        <v>48</v>
      </c>
    </row>
    <row r="164" spans="1:12">
      <c r="A164">
        <v>163</v>
      </c>
      <c r="B164" t="s">
        <v>339</v>
      </c>
      <c r="C164" t="s">
        <v>22</v>
      </c>
      <c r="D164" t="s">
        <v>340</v>
      </c>
      <c r="E164" s="3">
        <v>40.572769000000001</v>
      </c>
      <c r="F164" s="3">
        <v>15.214866000000001</v>
      </c>
      <c r="G164" s="4">
        <v>4</v>
      </c>
      <c r="H164" s="4">
        <v>4</v>
      </c>
      <c r="I164" s="4">
        <v>1</v>
      </c>
      <c r="J164" s="4">
        <v>0</v>
      </c>
      <c r="K164" s="4">
        <f t="shared" si="4"/>
        <v>9</v>
      </c>
      <c r="L164" s="4">
        <f t="shared" si="5"/>
        <v>26</v>
      </c>
    </row>
    <row r="165" spans="1:12">
      <c r="A165">
        <v>164</v>
      </c>
      <c r="B165" t="s">
        <v>341</v>
      </c>
      <c r="C165" t="s">
        <v>22</v>
      </c>
      <c r="D165" t="s">
        <v>342</v>
      </c>
      <c r="E165" s="3">
        <v>40.611680999999997</v>
      </c>
      <c r="F165" s="3">
        <v>15.125384</v>
      </c>
      <c r="G165" s="4">
        <v>21</v>
      </c>
      <c r="H165" s="4">
        <v>48</v>
      </c>
      <c r="I165" s="4">
        <v>15</v>
      </c>
      <c r="J165" s="4">
        <v>3</v>
      </c>
      <c r="K165" s="4">
        <f t="shared" si="4"/>
        <v>87</v>
      </c>
      <c r="L165" s="4">
        <f t="shared" si="5"/>
        <v>243</v>
      </c>
    </row>
    <row r="166" spans="1:12">
      <c r="A166">
        <v>165</v>
      </c>
      <c r="B166" t="s">
        <v>343</v>
      </c>
      <c r="C166" t="s">
        <v>22</v>
      </c>
      <c r="D166" t="s">
        <v>344</v>
      </c>
      <c r="E166" s="3">
        <v>40.562207999999998</v>
      </c>
      <c r="F166" s="3">
        <v>15.005482000000001</v>
      </c>
      <c r="G166" s="4">
        <v>2</v>
      </c>
      <c r="H166" s="4">
        <v>15</v>
      </c>
      <c r="I166" s="4">
        <v>12</v>
      </c>
      <c r="J166" s="4">
        <v>1</v>
      </c>
      <c r="K166" s="4">
        <f t="shared" si="4"/>
        <v>30</v>
      </c>
      <c r="L166" s="4">
        <f t="shared" si="5"/>
        <v>77</v>
      </c>
    </row>
    <row r="167" spans="1:12">
      <c r="A167">
        <v>166</v>
      </c>
      <c r="B167" t="s">
        <v>345</v>
      </c>
      <c r="C167" t="s">
        <v>22</v>
      </c>
      <c r="D167" t="s">
        <v>346</v>
      </c>
      <c r="E167" s="3">
        <v>40.594352999999998</v>
      </c>
      <c r="F167" s="3">
        <v>14.955171999999999</v>
      </c>
      <c r="G167" s="4">
        <v>3</v>
      </c>
      <c r="H167" s="4">
        <v>6</v>
      </c>
      <c r="I167" s="4">
        <v>16</v>
      </c>
      <c r="J167" s="4">
        <v>1</v>
      </c>
      <c r="K167" s="4">
        <f t="shared" si="4"/>
        <v>26</v>
      </c>
      <c r="L167" s="4">
        <f t="shared" si="5"/>
        <v>61</v>
      </c>
    </row>
    <row r="168" spans="1:12">
      <c r="A168">
        <v>167</v>
      </c>
      <c r="B168" t="s">
        <v>347</v>
      </c>
      <c r="C168" t="s">
        <v>22</v>
      </c>
      <c r="D168" t="s">
        <v>348</v>
      </c>
      <c r="E168" s="3">
        <v>40.223390000000002</v>
      </c>
      <c r="F168" s="3">
        <v>15.540877</v>
      </c>
      <c r="G168" s="4">
        <v>34</v>
      </c>
      <c r="H168" s="4">
        <v>11</v>
      </c>
      <c r="I168" s="4">
        <v>16</v>
      </c>
      <c r="J168" s="4">
        <v>0</v>
      </c>
      <c r="K168" s="4">
        <f t="shared" si="4"/>
        <v>61</v>
      </c>
      <c r="L168" s="4">
        <f t="shared" si="5"/>
        <v>167</v>
      </c>
    </row>
    <row r="169" spans="1:12">
      <c r="A169">
        <v>168</v>
      </c>
      <c r="B169" t="s">
        <v>349</v>
      </c>
      <c r="C169" t="s">
        <v>22</v>
      </c>
      <c r="D169" t="s">
        <v>350</v>
      </c>
      <c r="E169" s="3">
        <v>40.221845999999999</v>
      </c>
      <c r="F169" s="3">
        <v>15.692100999999999</v>
      </c>
      <c r="G169" s="4">
        <v>2</v>
      </c>
      <c r="H169" s="4">
        <v>5</v>
      </c>
      <c r="I169" s="4">
        <v>1</v>
      </c>
      <c r="J169" s="4">
        <v>2</v>
      </c>
      <c r="K169" s="4">
        <f t="shared" si="4"/>
        <v>10</v>
      </c>
      <c r="L169" s="4">
        <f t="shared" si="5"/>
        <v>27</v>
      </c>
    </row>
    <row r="170" spans="1:12">
      <c r="A170">
        <v>169</v>
      </c>
      <c r="B170" t="s">
        <v>351</v>
      </c>
      <c r="C170" t="s">
        <v>22</v>
      </c>
      <c r="D170" t="s">
        <v>352</v>
      </c>
      <c r="E170" s="3">
        <v>40.346094999999998</v>
      </c>
      <c r="F170" s="3">
        <v>15.596809</v>
      </c>
      <c r="G170" s="4">
        <v>27</v>
      </c>
      <c r="H170" s="4">
        <v>41</v>
      </c>
      <c r="I170" s="4">
        <v>7</v>
      </c>
      <c r="J170" s="4">
        <v>2</v>
      </c>
      <c r="K170" s="4">
        <f t="shared" si="4"/>
        <v>77</v>
      </c>
      <c r="L170" s="4">
        <f t="shared" si="5"/>
        <v>222</v>
      </c>
    </row>
    <row r="171" spans="1:12">
      <c r="A171">
        <v>170</v>
      </c>
      <c r="B171" t="s">
        <v>353</v>
      </c>
      <c r="C171" t="s">
        <v>22</v>
      </c>
      <c r="D171" t="s">
        <v>354</v>
      </c>
      <c r="E171" s="3">
        <v>40.536664999999999</v>
      </c>
      <c r="F171" s="3">
        <v>15.449793</v>
      </c>
      <c r="G171" s="4">
        <v>81</v>
      </c>
      <c r="H171" s="4">
        <v>27</v>
      </c>
      <c r="I171" s="4">
        <v>11</v>
      </c>
      <c r="J171" s="4">
        <v>4</v>
      </c>
      <c r="K171" s="4">
        <f t="shared" si="4"/>
        <v>123</v>
      </c>
      <c r="L171" s="4">
        <f t="shared" si="5"/>
        <v>354</v>
      </c>
    </row>
    <row r="172" spans="1:12">
      <c r="A172">
        <v>171</v>
      </c>
      <c r="B172" t="s">
        <v>355</v>
      </c>
      <c r="C172" t="s">
        <v>22</v>
      </c>
      <c r="D172" t="s">
        <v>356</v>
      </c>
      <c r="E172" s="3">
        <v>40.421247999999999</v>
      </c>
      <c r="F172" s="3">
        <v>15.375278</v>
      </c>
      <c r="G172" s="4">
        <v>36</v>
      </c>
      <c r="H172" s="4">
        <v>13</v>
      </c>
      <c r="I172" s="4">
        <v>10</v>
      </c>
      <c r="J172" s="4">
        <v>0</v>
      </c>
      <c r="K172" s="4">
        <f t="shared" si="4"/>
        <v>59</v>
      </c>
      <c r="L172" s="4">
        <f t="shared" si="5"/>
        <v>167</v>
      </c>
    </row>
    <row r="173" spans="1:12">
      <c r="A173">
        <v>172</v>
      </c>
      <c r="B173" t="s">
        <v>357</v>
      </c>
      <c r="C173" t="s">
        <v>22</v>
      </c>
      <c r="D173" t="s">
        <v>358</v>
      </c>
      <c r="E173" s="3">
        <v>40.423971999999999</v>
      </c>
      <c r="F173" s="3">
        <v>15.500819</v>
      </c>
      <c r="G173" s="4">
        <v>15</v>
      </c>
      <c r="H173" s="4">
        <v>13</v>
      </c>
      <c r="I173" s="4">
        <v>20</v>
      </c>
      <c r="J173" s="4">
        <v>3</v>
      </c>
      <c r="K173" s="4">
        <f t="shared" si="4"/>
        <v>51</v>
      </c>
      <c r="L173" s="4">
        <f t="shared" si="5"/>
        <v>130</v>
      </c>
    </row>
    <row r="174" spans="1:12">
      <c r="A174">
        <v>173</v>
      </c>
      <c r="B174" t="s">
        <v>359</v>
      </c>
      <c r="C174" t="s">
        <v>22</v>
      </c>
      <c r="D174" t="s">
        <v>360</v>
      </c>
      <c r="E174" s="3">
        <v>40.103001999999996</v>
      </c>
      <c r="F174" s="3">
        <v>15.625499</v>
      </c>
      <c r="G174" s="4">
        <v>43</v>
      </c>
      <c r="H174" s="4">
        <v>17</v>
      </c>
      <c r="I174" s="4">
        <v>29</v>
      </c>
      <c r="J174" s="4">
        <v>2</v>
      </c>
      <c r="K174" s="4">
        <f t="shared" si="4"/>
        <v>91</v>
      </c>
      <c r="L174" s="4">
        <f t="shared" si="5"/>
        <v>242</v>
      </c>
    </row>
    <row r="175" spans="1:12">
      <c r="A175">
        <v>174</v>
      </c>
      <c r="B175" t="s">
        <v>361</v>
      </c>
      <c r="C175" t="s">
        <v>22</v>
      </c>
      <c r="D175" t="s">
        <v>362</v>
      </c>
      <c r="E175" s="3">
        <v>40.098016000000001</v>
      </c>
      <c r="F175" s="3">
        <v>15.529285</v>
      </c>
      <c r="G175" s="4">
        <v>20</v>
      </c>
      <c r="H175" s="4">
        <v>8</v>
      </c>
      <c r="I175" s="4">
        <v>15</v>
      </c>
      <c r="J175" s="4">
        <v>2</v>
      </c>
      <c r="K175" s="4">
        <f t="shared" si="4"/>
        <v>45</v>
      </c>
      <c r="L175" s="4">
        <f t="shared" si="5"/>
        <v>118</v>
      </c>
    </row>
    <row r="176" spans="1:12">
      <c r="A176">
        <v>175</v>
      </c>
      <c r="B176" t="s">
        <v>363</v>
      </c>
      <c r="C176" t="s">
        <v>22</v>
      </c>
      <c r="D176" t="s">
        <v>364</v>
      </c>
      <c r="E176" s="3">
        <v>40.097853000000001</v>
      </c>
      <c r="F176" s="3">
        <v>15.456388</v>
      </c>
      <c r="G176" s="4">
        <v>30</v>
      </c>
      <c r="H176" s="4">
        <v>9</v>
      </c>
      <c r="I176" s="4">
        <v>8</v>
      </c>
      <c r="J176" s="4">
        <v>1</v>
      </c>
      <c r="K176" s="4">
        <f t="shared" si="4"/>
        <v>48</v>
      </c>
      <c r="L176" s="4">
        <f t="shared" si="5"/>
        <v>135</v>
      </c>
    </row>
    <row r="177" spans="1:12">
      <c r="A177">
        <v>176</v>
      </c>
      <c r="B177" t="s">
        <v>365</v>
      </c>
      <c r="C177" t="s">
        <v>22</v>
      </c>
      <c r="D177" t="s">
        <v>366</v>
      </c>
      <c r="E177" s="3">
        <v>40.167557000000002</v>
      </c>
      <c r="F177" s="3">
        <v>15.389929</v>
      </c>
      <c r="G177" s="4">
        <v>22</v>
      </c>
      <c r="H177" s="4">
        <v>5</v>
      </c>
      <c r="I177" s="4">
        <v>8</v>
      </c>
      <c r="J177" s="4">
        <v>0</v>
      </c>
      <c r="K177" s="4">
        <f t="shared" si="4"/>
        <v>35</v>
      </c>
      <c r="L177" s="4">
        <f t="shared" si="5"/>
        <v>97</v>
      </c>
    </row>
    <row r="178" spans="1:12">
      <c r="A178">
        <v>177</v>
      </c>
      <c r="B178" t="s">
        <v>367</v>
      </c>
      <c r="C178" t="s">
        <v>22</v>
      </c>
      <c r="D178" t="s">
        <v>368</v>
      </c>
      <c r="E178" s="3">
        <v>40.114635</v>
      </c>
      <c r="F178" s="3">
        <v>15.243446</v>
      </c>
      <c r="G178" s="4">
        <v>46</v>
      </c>
      <c r="H178" s="4">
        <v>10</v>
      </c>
      <c r="I178" s="4">
        <v>21</v>
      </c>
      <c r="J178" s="4">
        <v>1</v>
      </c>
      <c r="K178" s="4">
        <f t="shared" si="4"/>
        <v>78</v>
      </c>
      <c r="L178" s="4">
        <f t="shared" si="5"/>
        <v>212</v>
      </c>
    </row>
    <row r="179" spans="1:12">
      <c r="A179">
        <v>178</v>
      </c>
      <c r="B179" t="s">
        <v>369</v>
      </c>
      <c r="C179" t="s">
        <v>22</v>
      </c>
      <c r="D179" t="s">
        <v>370</v>
      </c>
      <c r="E179" s="3">
        <v>40.063481000000003</v>
      </c>
      <c r="F179" s="3">
        <v>15.342485999999999</v>
      </c>
      <c r="G179" s="4">
        <v>18</v>
      </c>
      <c r="H179" s="4">
        <v>7</v>
      </c>
      <c r="I179" s="4">
        <v>5</v>
      </c>
      <c r="J179" s="4">
        <v>0</v>
      </c>
      <c r="K179" s="4">
        <f t="shared" si="4"/>
        <v>30</v>
      </c>
      <c r="L179" s="4">
        <f t="shared" si="5"/>
        <v>85</v>
      </c>
    </row>
    <row r="180" spans="1:12">
      <c r="A180">
        <v>179</v>
      </c>
      <c r="B180" t="s">
        <v>371</v>
      </c>
      <c r="C180" t="s">
        <v>22</v>
      </c>
      <c r="D180" t="s">
        <v>372</v>
      </c>
      <c r="E180" s="3">
        <v>40.175398999999999</v>
      </c>
      <c r="F180" s="3">
        <v>15.190087999999999</v>
      </c>
      <c r="G180" s="4">
        <v>36</v>
      </c>
      <c r="H180" s="4">
        <v>25</v>
      </c>
      <c r="I180" s="4">
        <v>16</v>
      </c>
      <c r="J180" s="4">
        <v>1</v>
      </c>
      <c r="K180" s="4">
        <f t="shared" si="4"/>
        <v>78</v>
      </c>
      <c r="L180" s="4">
        <f t="shared" si="5"/>
        <v>217</v>
      </c>
    </row>
    <row r="181" spans="1:12">
      <c r="A181">
        <v>180</v>
      </c>
      <c r="B181" t="s">
        <v>373</v>
      </c>
      <c r="C181" t="s">
        <v>22</v>
      </c>
      <c r="D181" t="s">
        <v>374</v>
      </c>
      <c r="E181" s="3">
        <v>40.787256999999997</v>
      </c>
      <c r="F181" s="3">
        <v>14.403285</v>
      </c>
      <c r="G181" s="4">
        <v>8</v>
      </c>
      <c r="H181" s="4">
        <v>16</v>
      </c>
      <c r="I181" s="4">
        <v>7</v>
      </c>
      <c r="J181" s="4">
        <v>7</v>
      </c>
      <c r="K181" s="4">
        <f t="shared" si="4"/>
        <v>38</v>
      </c>
      <c r="L181" s="4">
        <f t="shared" si="5"/>
        <v>100</v>
      </c>
    </row>
    <row r="182" spans="1:12">
      <c r="A182">
        <v>181</v>
      </c>
      <c r="B182" t="s">
        <v>375</v>
      </c>
      <c r="C182" t="s">
        <v>22</v>
      </c>
      <c r="D182" t="s">
        <v>376</v>
      </c>
      <c r="E182" s="3">
        <v>40.834682999999998</v>
      </c>
      <c r="F182" s="3">
        <v>14.896960999999999</v>
      </c>
      <c r="G182" s="4">
        <v>17</v>
      </c>
      <c r="H182" s="4">
        <v>5</v>
      </c>
      <c r="I182" s="4">
        <v>2</v>
      </c>
      <c r="J182" s="4">
        <v>0</v>
      </c>
      <c r="K182" s="4">
        <f t="shared" si="4"/>
        <v>24</v>
      </c>
      <c r="L182" s="4">
        <f t="shared" si="5"/>
        <v>70</v>
      </c>
    </row>
    <row r="183" spans="1:12">
      <c r="A183">
        <v>182</v>
      </c>
      <c r="B183" t="s">
        <v>377</v>
      </c>
      <c r="C183" t="s">
        <v>22</v>
      </c>
      <c r="D183" t="s">
        <v>378</v>
      </c>
      <c r="E183" s="3">
        <v>40.932791999999999</v>
      </c>
      <c r="F183" s="3">
        <v>14.850865000000001</v>
      </c>
      <c r="G183" s="4">
        <v>4</v>
      </c>
      <c r="H183" s="4">
        <v>18</v>
      </c>
      <c r="I183" s="4">
        <v>3</v>
      </c>
      <c r="J183" s="4">
        <v>4</v>
      </c>
      <c r="K183" s="4">
        <f t="shared" si="4"/>
        <v>29</v>
      </c>
      <c r="L183" s="4">
        <f t="shared" si="5"/>
        <v>80</v>
      </c>
    </row>
    <row r="184" spans="1:12">
      <c r="A184">
        <v>183</v>
      </c>
      <c r="B184" t="s">
        <v>379</v>
      </c>
      <c r="C184" t="s">
        <v>22</v>
      </c>
      <c r="D184" t="s">
        <v>380</v>
      </c>
      <c r="E184" s="3">
        <v>40.993355000000001</v>
      </c>
      <c r="F184" s="3">
        <v>14.859423</v>
      </c>
      <c r="G184" s="4">
        <v>3</v>
      </c>
      <c r="H184" s="4">
        <v>3</v>
      </c>
      <c r="I184" s="4">
        <v>1</v>
      </c>
      <c r="J184" s="4">
        <v>1</v>
      </c>
      <c r="K184" s="4">
        <f t="shared" si="4"/>
        <v>8</v>
      </c>
      <c r="L184" s="4">
        <f t="shared" si="5"/>
        <v>22</v>
      </c>
    </row>
    <row r="185" spans="1:12">
      <c r="A185">
        <v>184</v>
      </c>
      <c r="B185" t="s">
        <v>381</v>
      </c>
      <c r="C185" t="s">
        <v>22</v>
      </c>
      <c r="D185" t="s">
        <v>382</v>
      </c>
      <c r="E185" s="3">
        <v>40.973371999999998</v>
      </c>
      <c r="F185" s="3">
        <v>14.763261999999999</v>
      </c>
      <c r="G185" s="4">
        <v>2</v>
      </c>
      <c r="H185" s="4">
        <v>10</v>
      </c>
      <c r="I185" s="4">
        <v>4</v>
      </c>
      <c r="J185" s="4">
        <v>0</v>
      </c>
      <c r="K185" s="4">
        <f t="shared" si="4"/>
        <v>16</v>
      </c>
      <c r="L185" s="4">
        <f t="shared" si="5"/>
        <v>44</v>
      </c>
    </row>
    <row r="186" spans="1:12">
      <c r="A186">
        <v>185</v>
      </c>
      <c r="B186" t="s">
        <v>383</v>
      </c>
      <c r="C186" t="s">
        <v>22</v>
      </c>
      <c r="D186" t="s">
        <v>384</v>
      </c>
      <c r="E186" s="3">
        <v>40.922671000000001</v>
      </c>
      <c r="F186" s="3">
        <v>14.537606</v>
      </c>
      <c r="G186" s="4">
        <v>7</v>
      </c>
      <c r="H186" s="4">
        <v>20</v>
      </c>
      <c r="I186" s="4">
        <v>3</v>
      </c>
      <c r="J186" s="4">
        <v>2</v>
      </c>
      <c r="K186" s="4">
        <f t="shared" si="4"/>
        <v>32</v>
      </c>
      <c r="L186" s="4">
        <f t="shared" si="5"/>
        <v>91</v>
      </c>
    </row>
    <row r="187" spans="1:12">
      <c r="A187">
        <v>186</v>
      </c>
      <c r="B187" t="s">
        <v>385</v>
      </c>
      <c r="C187" t="s">
        <v>22</v>
      </c>
      <c r="D187" t="s">
        <v>386</v>
      </c>
      <c r="E187" s="3">
        <v>40.900581000000003</v>
      </c>
      <c r="F187" s="3">
        <v>14.304989000000001</v>
      </c>
      <c r="G187" s="4">
        <v>5</v>
      </c>
      <c r="H187" s="4">
        <v>1</v>
      </c>
      <c r="I187" s="4">
        <v>4</v>
      </c>
      <c r="J187" s="4">
        <v>1</v>
      </c>
      <c r="K187" s="4">
        <f t="shared" si="4"/>
        <v>11</v>
      </c>
      <c r="L187" s="4">
        <f t="shared" si="5"/>
        <v>28</v>
      </c>
    </row>
    <row r="188" spans="1:12">
      <c r="A188">
        <v>187</v>
      </c>
      <c r="B188" t="s">
        <v>387</v>
      </c>
      <c r="C188" t="s">
        <v>22</v>
      </c>
      <c r="D188" t="s">
        <v>388</v>
      </c>
      <c r="E188" s="3">
        <v>40.897959</v>
      </c>
      <c r="F188" s="3">
        <v>14.179342</v>
      </c>
      <c r="G188" s="4">
        <v>4</v>
      </c>
      <c r="H188" s="4">
        <v>51</v>
      </c>
      <c r="I188" s="4">
        <v>0</v>
      </c>
      <c r="J188" s="4">
        <v>0</v>
      </c>
      <c r="K188" s="4">
        <f t="shared" si="4"/>
        <v>55</v>
      </c>
      <c r="L188" s="4">
        <f t="shared" si="5"/>
        <v>165</v>
      </c>
    </row>
    <row r="189" spans="1:12">
      <c r="A189">
        <v>188</v>
      </c>
      <c r="B189" t="s">
        <v>389</v>
      </c>
      <c r="C189" t="s">
        <v>22</v>
      </c>
      <c r="D189" t="s">
        <v>390</v>
      </c>
      <c r="E189" s="3">
        <v>40.927765000000001</v>
      </c>
      <c r="F189" s="3">
        <v>14.107327</v>
      </c>
      <c r="G189" s="4">
        <v>4</v>
      </c>
      <c r="H189" s="4">
        <v>12</v>
      </c>
      <c r="I189" s="4">
        <v>20</v>
      </c>
      <c r="J189" s="4">
        <v>2</v>
      </c>
      <c r="K189" s="4">
        <f t="shared" si="4"/>
        <v>38</v>
      </c>
      <c r="L189" s="4">
        <f t="shared" si="5"/>
        <v>92</v>
      </c>
    </row>
    <row r="190" spans="1:12">
      <c r="A190">
        <v>189</v>
      </c>
      <c r="B190" t="s">
        <v>391</v>
      </c>
      <c r="C190" t="s">
        <v>22</v>
      </c>
      <c r="D190" t="s">
        <v>392</v>
      </c>
      <c r="E190" s="3">
        <v>40.811951000000001</v>
      </c>
      <c r="F190" s="3">
        <v>14.062309000000001</v>
      </c>
      <c r="G190" s="4">
        <v>32</v>
      </c>
      <c r="H190" s="4">
        <v>44</v>
      </c>
      <c r="I190" s="4">
        <v>22</v>
      </c>
      <c r="J190" s="4">
        <v>6</v>
      </c>
      <c r="K190" s="4">
        <f t="shared" si="4"/>
        <v>104</v>
      </c>
      <c r="L190" s="4">
        <f t="shared" si="5"/>
        <v>284</v>
      </c>
    </row>
    <row r="191" spans="1:12">
      <c r="A191">
        <v>190</v>
      </c>
      <c r="B191" t="s">
        <v>393</v>
      </c>
      <c r="C191" t="s">
        <v>22</v>
      </c>
      <c r="D191" t="s">
        <v>394</v>
      </c>
      <c r="E191" s="3">
        <v>40.850093999999999</v>
      </c>
      <c r="F191" s="3">
        <v>14.102247</v>
      </c>
      <c r="G191" s="4">
        <v>38</v>
      </c>
      <c r="H191" s="4">
        <v>57</v>
      </c>
      <c r="I191" s="4">
        <v>13</v>
      </c>
      <c r="J191" s="4">
        <v>6</v>
      </c>
      <c r="K191" s="4">
        <f t="shared" si="4"/>
        <v>114</v>
      </c>
      <c r="L191" s="4">
        <f t="shared" si="5"/>
        <v>323</v>
      </c>
    </row>
    <row r="192" spans="1:12">
      <c r="A192">
        <v>191</v>
      </c>
      <c r="B192" t="s">
        <v>395</v>
      </c>
      <c r="C192" t="s">
        <v>13</v>
      </c>
      <c r="D192" t="s">
        <v>396</v>
      </c>
      <c r="E192" s="3">
        <v>40.875529</v>
      </c>
      <c r="F192" s="3">
        <v>14.288669000000001</v>
      </c>
      <c r="G192" s="4">
        <v>2</v>
      </c>
      <c r="H192" s="4">
        <v>436</v>
      </c>
      <c r="I192" s="4">
        <v>2</v>
      </c>
      <c r="J192" s="4">
        <v>2</v>
      </c>
      <c r="K192" s="4">
        <f t="shared" si="4"/>
        <v>442</v>
      </c>
      <c r="L192" s="4">
        <f t="shared" si="5"/>
        <v>1322</v>
      </c>
    </row>
    <row r="193" spans="1:12">
      <c r="A193">
        <v>192</v>
      </c>
      <c r="B193" t="s">
        <v>397</v>
      </c>
      <c r="C193" t="s">
        <v>13</v>
      </c>
      <c r="D193" t="s">
        <v>398</v>
      </c>
      <c r="E193" s="3">
        <v>40.867811000000003</v>
      </c>
      <c r="F193" s="3">
        <v>14.325822000000001</v>
      </c>
      <c r="G193" s="4">
        <v>0</v>
      </c>
      <c r="H193" s="4">
        <v>0</v>
      </c>
      <c r="I193" s="4">
        <v>0</v>
      </c>
      <c r="J193" s="4">
        <v>2</v>
      </c>
      <c r="K193" s="4">
        <f t="shared" si="4"/>
        <v>2</v>
      </c>
      <c r="L193" s="4">
        <f t="shared" si="5"/>
        <v>4</v>
      </c>
    </row>
    <row r="194" spans="1:12">
      <c r="A194">
        <v>193</v>
      </c>
      <c r="B194" t="s">
        <v>399</v>
      </c>
      <c r="C194" t="s">
        <v>13</v>
      </c>
      <c r="D194" t="s">
        <v>400</v>
      </c>
      <c r="E194" s="3">
        <v>40.849552000000003</v>
      </c>
      <c r="F194" s="3">
        <v>14.313522000000001</v>
      </c>
      <c r="G194" s="4">
        <v>5</v>
      </c>
      <c r="H194" s="4">
        <v>0</v>
      </c>
      <c r="I194" s="4">
        <v>0</v>
      </c>
      <c r="J194" s="4">
        <v>1</v>
      </c>
      <c r="K194" s="4">
        <f t="shared" ref="K194:K257" si="6">SUM(G194:J194)</f>
        <v>6</v>
      </c>
      <c r="L194" s="4">
        <f t="shared" ref="L194:L223" si="7">3*G194+3*H194+2*I194+2*J194</f>
        <v>17</v>
      </c>
    </row>
    <row r="195" spans="1:12">
      <c r="A195">
        <v>194</v>
      </c>
      <c r="B195" t="s">
        <v>401</v>
      </c>
      <c r="C195" t="s">
        <v>13</v>
      </c>
      <c r="D195" t="s">
        <v>402</v>
      </c>
      <c r="E195" s="3">
        <v>40.843989000000001</v>
      </c>
      <c r="F195" s="3">
        <v>14.197996</v>
      </c>
      <c r="G195" s="4">
        <v>6</v>
      </c>
      <c r="H195" s="4">
        <v>2</v>
      </c>
      <c r="I195" s="4">
        <v>0</v>
      </c>
      <c r="J195" s="4">
        <v>4</v>
      </c>
      <c r="K195" s="4">
        <f t="shared" si="6"/>
        <v>12</v>
      </c>
      <c r="L195" s="4">
        <f t="shared" si="7"/>
        <v>32</v>
      </c>
    </row>
    <row r="196" spans="1:12">
      <c r="A196">
        <v>195</v>
      </c>
      <c r="B196" t="s">
        <v>403</v>
      </c>
      <c r="C196" t="s">
        <v>13</v>
      </c>
      <c r="D196" t="s">
        <v>404</v>
      </c>
      <c r="E196" s="3">
        <v>40.856845</v>
      </c>
      <c r="F196" s="3">
        <v>14.223295999999999</v>
      </c>
      <c r="G196" s="4">
        <v>25</v>
      </c>
      <c r="H196" s="4">
        <v>3</v>
      </c>
      <c r="I196" s="4">
        <v>2</v>
      </c>
      <c r="J196" s="4">
        <v>4</v>
      </c>
      <c r="K196" s="4">
        <f t="shared" si="6"/>
        <v>34</v>
      </c>
      <c r="L196" s="4">
        <f t="shared" si="7"/>
        <v>96</v>
      </c>
    </row>
    <row r="197" spans="1:12">
      <c r="A197">
        <v>196</v>
      </c>
      <c r="B197" t="s">
        <v>405</v>
      </c>
      <c r="C197" t="s">
        <v>22</v>
      </c>
      <c r="D197" t="s">
        <v>406</v>
      </c>
      <c r="E197" s="3">
        <v>40.219977</v>
      </c>
      <c r="F197" s="3">
        <v>15.2822</v>
      </c>
      <c r="G197" s="4">
        <v>33</v>
      </c>
      <c r="H197" s="4">
        <v>14</v>
      </c>
      <c r="I197" s="4">
        <v>6</v>
      </c>
      <c r="J197" s="4">
        <v>0</v>
      </c>
      <c r="K197" s="4">
        <f t="shared" si="6"/>
        <v>53</v>
      </c>
      <c r="L197" s="4">
        <f t="shared" si="7"/>
        <v>153</v>
      </c>
    </row>
    <row r="198" spans="1:12">
      <c r="A198">
        <v>197</v>
      </c>
      <c r="B198" t="s">
        <v>407</v>
      </c>
      <c r="C198" t="s">
        <v>22</v>
      </c>
      <c r="D198" t="s">
        <v>408</v>
      </c>
      <c r="E198" s="3">
        <v>40.308008999999998</v>
      </c>
      <c r="F198" s="3">
        <v>15.351820999999999</v>
      </c>
      <c r="G198" s="4">
        <v>49</v>
      </c>
      <c r="H198" s="4">
        <v>8</v>
      </c>
      <c r="I198" s="4">
        <v>14</v>
      </c>
      <c r="J198" s="4">
        <v>0</v>
      </c>
      <c r="K198" s="4">
        <f t="shared" si="6"/>
        <v>71</v>
      </c>
      <c r="L198" s="4">
        <f t="shared" si="7"/>
        <v>199</v>
      </c>
    </row>
    <row r="199" spans="1:12">
      <c r="A199">
        <v>198</v>
      </c>
      <c r="B199" t="s">
        <v>409</v>
      </c>
      <c r="C199" t="s">
        <v>22</v>
      </c>
      <c r="D199" t="s">
        <v>410</v>
      </c>
      <c r="E199" s="3">
        <v>40.295276999999999</v>
      </c>
      <c r="F199" s="3">
        <v>14.993134</v>
      </c>
      <c r="G199" s="4">
        <v>59</v>
      </c>
      <c r="H199" s="4">
        <v>57</v>
      </c>
      <c r="I199" s="4">
        <v>98</v>
      </c>
      <c r="J199" s="4">
        <v>3</v>
      </c>
      <c r="K199" s="4">
        <f t="shared" si="6"/>
        <v>217</v>
      </c>
      <c r="L199" s="4">
        <f t="shared" si="7"/>
        <v>550</v>
      </c>
    </row>
    <row r="200" spans="1:12">
      <c r="A200">
        <v>199</v>
      </c>
      <c r="B200" t="s">
        <v>411</v>
      </c>
      <c r="C200" t="s">
        <v>22</v>
      </c>
      <c r="D200" t="s">
        <v>412</v>
      </c>
      <c r="E200" s="3">
        <v>40.357011999999997</v>
      </c>
      <c r="F200" s="3">
        <v>15.248281</v>
      </c>
      <c r="G200" s="4">
        <v>35</v>
      </c>
      <c r="H200" s="4">
        <v>6</v>
      </c>
      <c r="I200" s="4">
        <v>6</v>
      </c>
      <c r="J200" s="4">
        <v>0</v>
      </c>
      <c r="K200" s="4">
        <f t="shared" si="6"/>
        <v>47</v>
      </c>
      <c r="L200" s="4">
        <f t="shared" si="7"/>
        <v>135</v>
      </c>
    </row>
    <row r="201" spans="1:12">
      <c r="A201">
        <v>200</v>
      </c>
      <c r="B201" t="s">
        <v>413</v>
      </c>
      <c r="C201" t="s">
        <v>22</v>
      </c>
      <c r="D201" t="s">
        <v>414</v>
      </c>
      <c r="E201" s="3">
        <v>40.448196000000003</v>
      </c>
      <c r="F201" s="3">
        <v>15.082516999999999</v>
      </c>
      <c r="G201" s="4">
        <v>69</v>
      </c>
      <c r="H201" s="4">
        <v>76</v>
      </c>
      <c r="I201" s="4">
        <v>50</v>
      </c>
      <c r="J201" s="4">
        <v>3</v>
      </c>
      <c r="K201" s="4">
        <f t="shared" si="6"/>
        <v>198</v>
      </c>
      <c r="L201" s="4">
        <f t="shared" si="7"/>
        <v>541</v>
      </c>
    </row>
    <row r="202" spans="1:12">
      <c r="A202">
        <v>201</v>
      </c>
      <c r="B202" t="s">
        <v>415</v>
      </c>
      <c r="C202" t="s">
        <v>22</v>
      </c>
      <c r="D202" t="s">
        <v>416</v>
      </c>
      <c r="E202" s="3">
        <v>40.467818000000001</v>
      </c>
      <c r="F202" s="3">
        <v>15.246111000000001</v>
      </c>
      <c r="G202" s="4">
        <v>15</v>
      </c>
      <c r="H202" s="4">
        <v>9</v>
      </c>
      <c r="I202" s="4">
        <v>3</v>
      </c>
      <c r="J202" s="4">
        <v>0</v>
      </c>
      <c r="K202" s="4">
        <f t="shared" si="6"/>
        <v>27</v>
      </c>
      <c r="L202" s="4">
        <f t="shared" si="7"/>
        <v>78</v>
      </c>
    </row>
    <row r="203" spans="1:12">
      <c r="A203">
        <v>202</v>
      </c>
      <c r="B203" t="s">
        <v>417</v>
      </c>
      <c r="C203" t="s">
        <v>22</v>
      </c>
      <c r="D203" t="s">
        <v>418</v>
      </c>
      <c r="E203" s="3">
        <v>41.370652999999997</v>
      </c>
      <c r="F203" s="3">
        <v>15.008474</v>
      </c>
      <c r="G203" s="4">
        <v>8</v>
      </c>
      <c r="H203" s="4">
        <v>16</v>
      </c>
      <c r="I203" s="4">
        <v>9</v>
      </c>
      <c r="J203" s="4">
        <v>0</v>
      </c>
      <c r="K203" s="4">
        <f t="shared" si="6"/>
        <v>33</v>
      </c>
      <c r="L203" s="4">
        <f t="shared" si="7"/>
        <v>90</v>
      </c>
    </row>
    <row r="204" spans="1:12">
      <c r="A204">
        <v>203</v>
      </c>
      <c r="B204" t="s">
        <v>419</v>
      </c>
      <c r="C204" t="s">
        <v>22</v>
      </c>
      <c r="D204" t="s">
        <v>420</v>
      </c>
      <c r="E204" s="3">
        <v>41.367489999999997</v>
      </c>
      <c r="F204" s="3">
        <v>14.818732000000001</v>
      </c>
      <c r="G204" s="4">
        <v>6</v>
      </c>
      <c r="H204" s="4">
        <v>12</v>
      </c>
      <c r="I204" s="4">
        <v>4</v>
      </c>
      <c r="J204" s="4">
        <v>0</v>
      </c>
      <c r="K204" s="4">
        <f t="shared" si="6"/>
        <v>22</v>
      </c>
      <c r="L204" s="4">
        <f t="shared" si="7"/>
        <v>62</v>
      </c>
    </row>
    <row r="205" spans="1:12">
      <c r="A205">
        <v>204</v>
      </c>
      <c r="B205" t="s">
        <v>421</v>
      </c>
      <c r="C205" t="s">
        <v>22</v>
      </c>
      <c r="D205" t="s">
        <v>422</v>
      </c>
      <c r="E205" s="3">
        <v>41.225549000000001</v>
      </c>
      <c r="F205" s="3">
        <v>14.937949</v>
      </c>
      <c r="G205" s="4">
        <v>3</v>
      </c>
      <c r="H205" s="4">
        <v>12</v>
      </c>
      <c r="I205" s="4">
        <v>5</v>
      </c>
      <c r="J205" s="4">
        <v>0</v>
      </c>
      <c r="K205" s="4">
        <f t="shared" si="6"/>
        <v>20</v>
      </c>
      <c r="L205" s="4">
        <f t="shared" si="7"/>
        <v>55</v>
      </c>
    </row>
    <row r="206" spans="1:12">
      <c r="A206">
        <v>205</v>
      </c>
      <c r="B206" t="s">
        <v>423</v>
      </c>
      <c r="C206" t="s">
        <v>22</v>
      </c>
      <c r="D206" t="s">
        <v>424</v>
      </c>
      <c r="E206" s="3">
        <v>41.293298</v>
      </c>
      <c r="F206" s="3">
        <v>14.856244</v>
      </c>
      <c r="G206" s="4">
        <v>7</v>
      </c>
      <c r="H206" s="4">
        <v>19</v>
      </c>
      <c r="I206" s="4">
        <v>3</v>
      </c>
      <c r="J206" s="4">
        <v>0</v>
      </c>
      <c r="K206" s="4">
        <f t="shared" si="6"/>
        <v>29</v>
      </c>
      <c r="L206" s="4">
        <f t="shared" si="7"/>
        <v>84</v>
      </c>
    </row>
    <row r="207" spans="1:12">
      <c r="A207">
        <v>206</v>
      </c>
      <c r="B207" t="s">
        <v>425</v>
      </c>
      <c r="C207" t="s">
        <v>22</v>
      </c>
      <c r="D207" t="s">
        <v>426</v>
      </c>
      <c r="E207" s="3">
        <v>41.248648000000003</v>
      </c>
      <c r="F207" s="3">
        <v>14.480119999999999</v>
      </c>
      <c r="G207" s="4">
        <v>9</v>
      </c>
      <c r="H207" s="4">
        <v>51</v>
      </c>
      <c r="I207" s="4">
        <v>4</v>
      </c>
      <c r="J207" s="4">
        <v>0</v>
      </c>
      <c r="K207" s="4">
        <f t="shared" si="6"/>
        <v>64</v>
      </c>
      <c r="L207" s="4">
        <f t="shared" si="7"/>
        <v>188</v>
      </c>
    </row>
    <row r="208" spans="1:12">
      <c r="A208">
        <v>207</v>
      </c>
      <c r="B208" t="s">
        <v>427</v>
      </c>
      <c r="C208" t="s">
        <v>22</v>
      </c>
      <c r="D208" t="s">
        <v>428</v>
      </c>
      <c r="E208" s="3">
        <v>41.112824000000003</v>
      </c>
      <c r="F208" s="3">
        <v>14.924322</v>
      </c>
      <c r="G208" s="4">
        <v>1</v>
      </c>
      <c r="H208" s="4">
        <v>11</v>
      </c>
      <c r="I208" s="4">
        <v>0</v>
      </c>
      <c r="J208" s="4">
        <v>2</v>
      </c>
      <c r="K208" s="4">
        <f t="shared" si="6"/>
        <v>14</v>
      </c>
      <c r="L208" s="4">
        <f t="shared" si="7"/>
        <v>40</v>
      </c>
    </row>
    <row r="209" spans="1:12">
      <c r="A209">
        <v>208</v>
      </c>
      <c r="B209" t="s">
        <v>429</v>
      </c>
      <c r="C209" t="s">
        <v>22</v>
      </c>
      <c r="D209" t="s">
        <v>430</v>
      </c>
      <c r="E209" s="3">
        <v>40.651750999999997</v>
      </c>
      <c r="F209" s="3">
        <v>14.453243000000001</v>
      </c>
      <c r="G209" s="4">
        <v>82</v>
      </c>
      <c r="H209" s="4">
        <v>72</v>
      </c>
      <c r="I209" s="4">
        <v>85</v>
      </c>
      <c r="J209" s="4">
        <v>5</v>
      </c>
      <c r="K209" s="4">
        <f t="shared" si="6"/>
        <v>244</v>
      </c>
      <c r="L209" s="4">
        <f t="shared" si="7"/>
        <v>642</v>
      </c>
    </row>
    <row r="210" spans="1:12">
      <c r="A210">
        <v>209</v>
      </c>
      <c r="B210" t="s">
        <v>431</v>
      </c>
      <c r="C210" t="s">
        <v>22</v>
      </c>
      <c r="D210" t="s">
        <v>432</v>
      </c>
      <c r="E210" s="3">
        <v>41.174405999999998</v>
      </c>
      <c r="F210" s="3">
        <v>15.09735</v>
      </c>
      <c r="G210" s="4">
        <v>3</v>
      </c>
      <c r="H210" s="4">
        <v>16</v>
      </c>
      <c r="I210" s="4">
        <v>4</v>
      </c>
      <c r="J210" s="4">
        <v>3</v>
      </c>
      <c r="K210" s="4">
        <f t="shared" si="6"/>
        <v>26</v>
      </c>
      <c r="L210" s="4">
        <f t="shared" si="7"/>
        <v>71</v>
      </c>
    </row>
    <row r="211" spans="1:12">
      <c r="A211">
        <v>210</v>
      </c>
      <c r="B211" t="s">
        <v>433</v>
      </c>
      <c r="C211" t="s">
        <v>22</v>
      </c>
      <c r="D211" t="s">
        <v>434</v>
      </c>
      <c r="E211" s="3">
        <v>41.237715000000001</v>
      </c>
      <c r="F211" s="3">
        <v>15.202517</v>
      </c>
      <c r="G211" s="4">
        <v>48</v>
      </c>
      <c r="H211" s="4">
        <v>60</v>
      </c>
      <c r="I211" s="4">
        <v>10</v>
      </c>
      <c r="J211" s="4">
        <v>9</v>
      </c>
      <c r="K211" s="4">
        <f t="shared" si="6"/>
        <v>127</v>
      </c>
      <c r="L211" s="4">
        <f t="shared" si="7"/>
        <v>362</v>
      </c>
    </row>
    <row r="212" spans="1:12">
      <c r="A212">
        <v>211</v>
      </c>
      <c r="B212" t="s">
        <v>435</v>
      </c>
      <c r="C212" t="s">
        <v>22</v>
      </c>
      <c r="D212" t="s">
        <v>436</v>
      </c>
      <c r="E212" s="3">
        <v>41.080480000000001</v>
      </c>
      <c r="F212" s="3">
        <v>15.088761</v>
      </c>
      <c r="G212" s="4">
        <v>1</v>
      </c>
      <c r="H212" s="4">
        <v>7</v>
      </c>
      <c r="I212" s="4">
        <v>2</v>
      </c>
      <c r="J212" s="4">
        <v>0</v>
      </c>
      <c r="K212" s="4">
        <f t="shared" si="6"/>
        <v>10</v>
      </c>
      <c r="L212" s="4">
        <f t="shared" si="7"/>
        <v>28</v>
      </c>
    </row>
    <row r="213" spans="1:12">
      <c r="A213">
        <v>212</v>
      </c>
      <c r="B213" t="s">
        <v>437</v>
      </c>
      <c r="C213" t="s">
        <v>22</v>
      </c>
      <c r="D213" t="s">
        <v>438</v>
      </c>
      <c r="E213" s="3">
        <v>40.824415999999999</v>
      </c>
      <c r="F213" s="3">
        <v>14.380004</v>
      </c>
      <c r="G213" s="4">
        <v>41</v>
      </c>
      <c r="H213" s="4">
        <v>4</v>
      </c>
      <c r="I213" s="4">
        <v>15</v>
      </c>
      <c r="J213" s="4">
        <v>0</v>
      </c>
      <c r="K213" s="4">
        <f t="shared" si="6"/>
        <v>60</v>
      </c>
      <c r="L213" s="4">
        <f t="shared" si="7"/>
        <v>165</v>
      </c>
    </row>
    <row r="214" spans="1:12">
      <c r="A214">
        <v>213</v>
      </c>
      <c r="B214" t="s">
        <v>439</v>
      </c>
      <c r="C214" t="s">
        <v>22</v>
      </c>
      <c r="D214" t="s">
        <v>440</v>
      </c>
      <c r="E214" s="3">
        <v>40.925077000000002</v>
      </c>
      <c r="F214" s="3">
        <v>14.686624</v>
      </c>
      <c r="G214" s="4">
        <v>19</v>
      </c>
      <c r="H214" s="4">
        <v>4</v>
      </c>
      <c r="I214" s="4">
        <v>7</v>
      </c>
      <c r="J214" s="4">
        <v>1</v>
      </c>
      <c r="K214" s="4">
        <f t="shared" si="6"/>
        <v>31</v>
      </c>
      <c r="L214" s="4">
        <f t="shared" si="7"/>
        <v>85</v>
      </c>
    </row>
    <row r="215" spans="1:12">
      <c r="A215">
        <v>214</v>
      </c>
      <c r="B215" t="s">
        <v>441</v>
      </c>
      <c r="C215" t="s">
        <v>13</v>
      </c>
      <c r="D215" t="s">
        <v>442</v>
      </c>
      <c r="E215" s="3">
        <v>40.88317</v>
      </c>
      <c r="F215" s="3">
        <v>14.236359</v>
      </c>
      <c r="G215" s="4">
        <v>0</v>
      </c>
      <c r="H215" s="4">
        <v>3</v>
      </c>
      <c r="I215" s="4">
        <v>1</v>
      </c>
      <c r="J215" s="4">
        <v>2</v>
      </c>
      <c r="K215" s="4">
        <f t="shared" si="6"/>
        <v>6</v>
      </c>
      <c r="L215" s="4">
        <f t="shared" si="7"/>
        <v>15</v>
      </c>
    </row>
    <row r="216" spans="1:12">
      <c r="A216">
        <v>215</v>
      </c>
      <c r="B216" t="s">
        <v>443</v>
      </c>
      <c r="C216" t="s">
        <v>13</v>
      </c>
      <c r="D216" t="s">
        <v>444</v>
      </c>
      <c r="E216" s="3">
        <v>40.871406999999998</v>
      </c>
      <c r="F216" s="3">
        <v>14.24611</v>
      </c>
      <c r="G216" s="4">
        <v>15</v>
      </c>
      <c r="H216" s="4">
        <v>10</v>
      </c>
      <c r="I216" s="4">
        <v>2</v>
      </c>
      <c r="J216" s="4">
        <v>1</v>
      </c>
      <c r="K216" s="4">
        <f t="shared" si="6"/>
        <v>28</v>
      </c>
      <c r="L216" s="4">
        <f t="shared" si="7"/>
        <v>81</v>
      </c>
    </row>
    <row r="217" spans="1:12">
      <c r="A217">
        <v>216</v>
      </c>
      <c r="B217" t="s">
        <v>445</v>
      </c>
      <c r="C217" t="s">
        <v>13</v>
      </c>
      <c r="D217" t="s">
        <v>446</v>
      </c>
      <c r="E217" s="3">
        <v>40.847230000000003</v>
      </c>
      <c r="F217" s="3">
        <v>14.240005999999999</v>
      </c>
      <c r="G217" s="4">
        <v>79</v>
      </c>
      <c r="H217" s="4">
        <v>100</v>
      </c>
      <c r="I217" s="4">
        <v>99</v>
      </c>
      <c r="J217" s="4">
        <v>11</v>
      </c>
      <c r="K217" s="4">
        <f t="shared" si="6"/>
        <v>289</v>
      </c>
      <c r="L217" s="4">
        <f t="shared" si="7"/>
        <v>757</v>
      </c>
    </row>
    <row r="218" spans="1:12">
      <c r="A218">
        <v>217</v>
      </c>
      <c r="B218" t="s">
        <v>447</v>
      </c>
      <c r="C218" t="s">
        <v>22</v>
      </c>
      <c r="D218" t="s">
        <v>448</v>
      </c>
      <c r="E218" s="3">
        <v>41.249944999999997</v>
      </c>
      <c r="F218" s="3">
        <v>14.614879999999999</v>
      </c>
      <c r="G218" s="4">
        <v>4</v>
      </c>
      <c r="H218" s="4">
        <v>8</v>
      </c>
      <c r="I218" s="4">
        <v>5</v>
      </c>
      <c r="J218" s="4">
        <v>1</v>
      </c>
      <c r="K218" s="4">
        <f t="shared" si="6"/>
        <v>18</v>
      </c>
      <c r="L218" s="4">
        <f t="shared" si="7"/>
        <v>48</v>
      </c>
    </row>
    <row r="219" spans="1:12">
      <c r="A219">
        <v>218</v>
      </c>
      <c r="B219" t="s">
        <v>449</v>
      </c>
      <c r="C219" t="s">
        <v>22</v>
      </c>
      <c r="D219" t="s">
        <v>450</v>
      </c>
      <c r="E219" s="3">
        <v>41.225163999999999</v>
      </c>
      <c r="F219" s="3">
        <v>14.704888</v>
      </c>
      <c r="G219" s="4">
        <v>2</v>
      </c>
      <c r="H219" s="4">
        <v>11</v>
      </c>
      <c r="I219" s="4">
        <v>4</v>
      </c>
      <c r="J219" s="4">
        <v>2</v>
      </c>
      <c r="K219" s="4">
        <f t="shared" si="6"/>
        <v>19</v>
      </c>
      <c r="L219" s="4">
        <f t="shared" si="7"/>
        <v>51</v>
      </c>
    </row>
    <row r="220" spans="1:12">
      <c r="A220">
        <v>219</v>
      </c>
      <c r="B220" t="s">
        <v>451</v>
      </c>
      <c r="C220" t="s">
        <v>22</v>
      </c>
      <c r="D220" t="s">
        <v>452</v>
      </c>
      <c r="E220" s="3">
        <v>41.035863999999997</v>
      </c>
      <c r="F220" s="3">
        <v>15.197914000000001</v>
      </c>
      <c r="G220" s="4">
        <v>0</v>
      </c>
      <c r="H220" s="4">
        <v>7</v>
      </c>
      <c r="I220" s="4">
        <v>0</v>
      </c>
      <c r="J220" s="4">
        <v>0</v>
      </c>
      <c r="K220" s="4">
        <f t="shared" si="6"/>
        <v>7</v>
      </c>
      <c r="L220" s="4">
        <f t="shared" si="7"/>
        <v>21</v>
      </c>
    </row>
    <row r="221" spans="1:12">
      <c r="A221">
        <v>220</v>
      </c>
      <c r="B221" t="s">
        <v>453</v>
      </c>
      <c r="C221" t="s">
        <v>22</v>
      </c>
      <c r="D221" t="s">
        <v>454</v>
      </c>
      <c r="E221" s="3">
        <v>41.074697</v>
      </c>
      <c r="F221" s="3">
        <v>14.824507000000001</v>
      </c>
      <c r="G221" s="4">
        <v>6</v>
      </c>
      <c r="H221" s="4">
        <v>10</v>
      </c>
      <c r="I221" s="4">
        <v>5</v>
      </c>
      <c r="J221" s="4">
        <v>0</v>
      </c>
      <c r="K221" s="4">
        <f t="shared" si="6"/>
        <v>21</v>
      </c>
      <c r="L221" s="4">
        <f t="shared" si="7"/>
        <v>58</v>
      </c>
    </row>
    <row r="222" spans="1:12">
      <c r="A222">
        <v>221</v>
      </c>
      <c r="B222" t="s">
        <v>455</v>
      </c>
      <c r="C222" t="s">
        <v>22</v>
      </c>
      <c r="D222" t="s">
        <v>456</v>
      </c>
      <c r="E222" s="3">
        <v>40.866539000000003</v>
      </c>
      <c r="F222" s="3">
        <v>14.765167</v>
      </c>
      <c r="G222" s="4">
        <v>0</v>
      </c>
      <c r="H222" s="4">
        <v>1</v>
      </c>
      <c r="I222" s="4">
        <v>0</v>
      </c>
      <c r="J222" s="4">
        <v>0</v>
      </c>
      <c r="K222" s="4">
        <f t="shared" si="6"/>
        <v>1</v>
      </c>
      <c r="L222" s="4">
        <f t="shared" si="7"/>
        <v>3</v>
      </c>
    </row>
    <row r="223" spans="1:12">
      <c r="A223">
        <v>222</v>
      </c>
      <c r="B223" t="s">
        <v>457</v>
      </c>
      <c r="C223" t="s">
        <v>22</v>
      </c>
      <c r="D223" t="s">
        <v>458</v>
      </c>
      <c r="E223" s="3">
        <v>40.872005999999999</v>
      </c>
      <c r="F223" s="3">
        <v>14.399095000000001</v>
      </c>
      <c r="G223" s="4">
        <v>3</v>
      </c>
      <c r="H223" s="4">
        <v>2</v>
      </c>
      <c r="I223" s="4">
        <v>1</v>
      </c>
      <c r="J223" s="4">
        <v>2</v>
      </c>
      <c r="K223" s="4">
        <f t="shared" si="6"/>
        <v>8</v>
      </c>
      <c r="L223" s="4">
        <f t="shared" si="7"/>
        <v>21</v>
      </c>
    </row>
  </sheetData>
  <phoneticPr fontId="3" type="noConversion"/>
  <conditionalFormatting sqref="K2:K2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{C61761F1-1A55-E2C0-5CB7-FACE50720261}</x14:id>
        </ext>
      </extLst>
    </cfRule>
  </conditionalFormatting>
  <conditionalFormatting sqref="L2:L2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{B4EEC04C-D4E8-6323-991B-822BC908A2C6}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1761F1-1A55-E2C0-5CB7-FACE50720261}">
            <x14:dataBar>
              <x14:cfvo type="min"/>
              <x14:cfvo type="max"/>
              <x14:negativeFillColor auto="1"/>
              <x14:axisColor auto="1"/>
            </x14:dataBar>
          </x14:cfRule>
          <xm:sqref>K2:K223</xm:sqref>
        </x14:conditionalFormatting>
        <x14:conditionalFormatting xmlns:xm="http://schemas.microsoft.com/office/excel/2006/main">
          <x14:cfRule type="dataBar" id="{B4EEC04C-D4E8-6323-991B-822BC908A2C6}">
            <x14:dataBar>
              <x14:cfvo type="min"/>
              <x14:cfvo type="max"/>
              <x14:negativeFillColor auto="1"/>
              <x14:axisColor auto="1"/>
            </x14:dataBar>
          </x14:cfRule>
          <xm:sqref>L2:L223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25"/>
  <cols>
    <col min="1" max="1" width="8" customWidth="1"/>
    <col min="2" max="2" width="10" customWidth="1"/>
    <col min="3" max="3" width="26" customWidth="1"/>
    <col min="4" max="9" width="16" customWidth="1"/>
  </cols>
  <sheetData>
    <row r="1" spans="1:9" ht="15">
      <c r="A1" s="1" t="s">
        <v>459</v>
      </c>
      <c r="B1" s="1" t="s">
        <v>0</v>
      </c>
      <c r="C1" s="1" t="s">
        <v>3</v>
      </c>
      <c r="D1" s="1" t="s">
        <v>10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11</v>
      </c>
    </row>
    <row r="2" spans="1:9">
      <c r="A2" s="4">
        <v>1</v>
      </c>
      <c r="B2" s="4">
        <v>68</v>
      </c>
      <c r="C2" s="4" t="s">
        <v>150</v>
      </c>
      <c r="D2" s="4">
        <v>1127</v>
      </c>
      <c r="E2" s="4">
        <v>41</v>
      </c>
      <c r="F2" s="4">
        <v>1049</v>
      </c>
      <c r="G2" s="4">
        <v>33</v>
      </c>
      <c r="H2" s="4">
        <v>4</v>
      </c>
      <c r="I2" s="4">
        <v>3344</v>
      </c>
    </row>
    <row r="3" spans="1:9">
      <c r="A3" s="4">
        <v>2</v>
      </c>
      <c r="B3" s="4">
        <v>93</v>
      </c>
      <c r="C3" s="4" t="s">
        <v>200</v>
      </c>
      <c r="D3" s="4">
        <v>584</v>
      </c>
      <c r="E3" s="4">
        <v>179</v>
      </c>
      <c r="F3" s="4">
        <v>141</v>
      </c>
      <c r="G3" s="4">
        <v>250</v>
      </c>
      <c r="H3" s="4">
        <v>14</v>
      </c>
      <c r="I3" s="4">
        <v>1488</v>
      </c>
    </row>
    <row r="4" spans="1:9">
      <c r="A4" s="4">
        <v>3</v>
      </c>
      <c r="B4" s="4">
        <v>191</v>
      </c>
      <c r="C4" s="4" t="s">
        <v>396</v>
      </c>
      <c r="D4" s="4">
        <v>442</v>
      </c>
      <c r="E4" s="4">
        <v>2</v>
      </c>
      <c r="F4" s="4">
        <v>436</v>
      </c>
      <c r="G4" s="4">
        <v>2</v>
      </c>
      <c r="H4" s="4">
        <v>2</v>
      </c>
      <c r="I4" s="4">
        <v>1322</v>
      </c>
    </row>
    <row r="5" spans="1:9">
      <c r="A5" s="4">
        <v>4</v>
      </c>
      <c r="B5" s="4">
        <v>148</v>
      </c>
      <c r="C5" s="4" t="s">
        <v>310</v>
      </c>
      <c r="D5" s="4">
        <v>330</v>
      </c>
      <c r="E5" s="4">
        <v>52</v>
      </c>
      <c r="F5" s="4">
        <v>268</v>
      </c>
      <c r="G5" s="4">
        <v>6</v>
      </c>
      <c r="H5" s="4">
        <v>4</v>
      </c>
      <c r="I5" s="4">
        <v>980</v>
      </c>
    </row>
    <row r="6" spans="1:9">
      <c r="A6" s="4">
        <v>5</v>
      </c>
      <c r="B6" s="4">
        <v>1</v>
      </c>
      <c r="C6" s="4" t="s">
        <v>14</v>
      </c>
      <c r="D6" s="4">
        <v>324</v>
      </c>
      <c r="E6" s="4">
        <v>57</v>
      </c>
      <c r="F6" s="4">
        <v>74</v>
      </c>
      <c r="G6" s="4">
        <v>178</v>
      </c>
      <c r="H6" s="4">
        <v>15</v>
      </c>
      <c r="I6" s="4">
        <v>779</v>
      </c>
    </row>
    <row r="7" spans="1:9">
      <c r="A7" s="4">
        <v>6</v>
      </c>
      <c r="B7" s="4">
        <v>216</v>
      </c>
      <c r="C7" s="4" t="s">
        <v>446</v>
      </c>
      <c r="D7" s="4">
        <v>289</v>
      </c>
      <c r="E7" s="4">
        <v>79</v>
      </c>
      <c r="F7" s="4">
        <v>100</v>
      </c>
      <c r="G7" s="4">
        <v>99</v>
      </c>
      <c r="H7" s="4">
        <v>11</v>
      </c>
      <c r="I7" s="4">
        <v>757</v>
      </c>
    </row>
    <row r="8" spans="1:9">
      <c r="A8" s="4">
        <v>7</v>
      </c>
      <c r="B8" s="4">
        <v>3</v>
      </c>
      <c r="C8" s="4" t="s">
        <v>18</v>
      </c>
      <c r="D8" s="4">
        <v>282</v>
      </c>
      <c r="E8" s="4">
        <v>92</v>
      </c>
      <c r="F8" s="4">
        <v>108</v>
      </c>
      <c r="G8" s="4">
        <v>68</v>
      </c>
      <c r="H8" s="4">
        <v>14</v>
      </c>
      <c r="I8" s="4">
        <v>764</v>
      </c>
    </row>
    <row r="9" spans="1:9">
      <c r="A9" s="4">
        <v>8</v>
      </c>
      <c r="B9" s="4">
        <v>159</v>
      </c>
      <c r="C9" s="4" t="s">
        <v>332</v>
      </c>
      <c r="D9" s="4">
        <v>260</v>
      </c>
      <c r="E9" s="4">
        <v>120</v>
      </c>
      <c r="F9" s="4">
        <v>38</v>
      </c>
      <c r="G9" s="4">
        <v>98</v>
      </c>
      <c r="H9" s="4">
        <v>4</v>
      </c>
      <c r="I9" s="4">
        <v>678</v>
      </c>
    </row>
    <row r="10" spans="1:9">
      <c r="A10" s="4">
        <v>9</v>
      </c>
      <c r="B10" s="4">
        <v>208</v>
      </c>
      <c r="C10" s="4" t="s">
        <v>430</v>
      </c>
      <c r="D10" s="4">
        <v>244</v>
      </c>
      <c r="E10" s="4">
        <v>82</v>
      </c>
      <c r="F10" s="4">
        <v>72</v>
      </c>
      <c r="G10" s="4">
        <v>85</v>
      </c>
      <c r="H10" s="4">
        <v>5</v>
      </c>
      <c r="I10" s="4">
        <v>642</v>
      </c>
    </row>
    <row r="11" spans="1:9">
      <c r="A11" s="4">
        <v>10</v>
      </c>
      <c r="B11" s="4">
        <v>27</v>
      </c>
      <c r="C11" s="4" t="s">
        <v>67</v>
      </c>
      <c r="D11" s="4">
        <v>228</v>
      </c>
      <c r="E11" s="4">
        <v>62</v>
      </c>
      <c r="F11" s="4">
        <v>52</v>
      </c>
      <c r="G11" s="4">
        <v>109</v>
      </c>
      <c r="H11" s="4">
        <v>5</v>
      </c>
      <c r="I11" s="4">
        <v>570</v>
      </c>
    </row>
    <row r="12" spans="1:9">
      <c r="A12" s="4">
        <v>11</v>
      </c>
      <c r="B12" s="4">
        <v>198</v>
      </c>
      <c r="C12" s="4" t="s">
        <v>410</v>
      </c>
      <c r="D12" s="4">
        <v>217</v>
      </c>
      <c r="E12" s="4">
        <v>59</v>
      </c>
      <c r="F12" s="4">
        <v>57</v>
      </c>
      <c r="G12" s="4">
        <v>98</v>
      </c>
      <c r="H12" s="4">
        <v>3</v>
      </c>
      <c r="I12" s="4">
        <v>550</v>
      </c>
    </row>
    <row r="13" spans="1:9">
      <c r="A13" s="4">
        <v>12</v>
      </c>
      <c r="B13" s="4">
        <v>160</v>
      </c>
      <c r="C13" s="4" t="s">
        <v>334</v>
      </c>
      <c r="D13" s="4">
        <v>212</v>
      </c>
      <c r="E13" s="4">
        <v>91</v>
      </c>
      <c r="F13" s="4">
        <v>21</v>
      </c>
      <c r="G13" s="4">
        <v>98</v>
      </c>
      <c r="H13" s="4">
        <v>2</v>
      </c>
      <c r="I13" s="4">
        <v>536</v>
      </c>
    </row>
    <row r="14" spans="1:9">
      <c r="A14" s="4">
        <v>13</v>
      </c>
      <c r="B14" s="4">
        <v>29</v>
      </c>
      <c r="C14" s="4" t="s">
        <v>71</v>
      </c>
      <c r="D14" s="4">
        <v>209</v>
      </c>
      <c r="E14" s="4">
        <v>106</v>
      </c>
      <c r="F14" s="4">
        <v>83</v>
      </c>
      <c r="G14" s="4">
        <v>19</v>
      </c>
      <c r="H14" s="4">
        <v>1</v>
      </c>
      <c r="I14" s="4">
        <v>607</v>
      </c>
    </row>
    <row r="15" spans="1:9">
      <c r="A15" s="4">
        <v>14</v>
      </c>
      <c r="B15" s="4">
        <v>200</v>
      </c>
      <c r="C15" s="4" t="s">
        <v>414</v>
      </c>
      <c r="D15" s="4">
        <v>198</v>
      </c>
      <c r="E15" s="4">
        <v>69</v>
      </c>
      <c r="F15" s="4">
        <v>76</v>
      </c>
      <c r="G15" s="4">
        <v>50</v>
      </c>
      <c r="H15" s="4">
        <v>3</v>
      </c>
      <c r="I15" s="4">
        <v>541</v>
      </c>
    </row>
    <row r="16" spans="1:9">
      <c r="A16" s="4">
        <v>15</v>
      </c>
      <c r="B16" s="4">
        <v>69</v>
      </c>
      <c r="C16" s="4" t="s">
        <v>152</v>
      </c>
      <c r="D16" s="4">
        <v>185</v>
      </c>
      <c r="E16" s="4">
        <v>0</v>
      </c>
      <c r="F16" s="4">
        <v>179</v>
      </c>
      <c r="G16" s="4">
        <v>6</v>
      </c>
      <c r="H16" s="4">
        <v>0</v>
      </c>
      <c r="I16" s="4">
        <v>549</v>
      </c>
    </row>
  </sheetData>
  <phoneticPr fontId="3" type="noConversion"/>
  <conditionalFormatting sqref="D2:D1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{E3DAC385-9140-0BF7-A3AA-18EBCDBF50A4}</x14:id>
        </ext>
      </extLst>
    </cfRule>
  </conditionalFormatting>
  <conditionalFormatting sqref="I2:I16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{46AC47D1-8AE8-FE17-A88B-9216AC51A43A}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DAC385-9140-0BF7-A3AA-18EBCDBF50A4}">
            <x14:dataBar>
              <x14:cfvo type="min"/>
              <x14:cfvo type="max"/>
              <x14:negativeFillColor auto="1"/>
              <x14:axisColor auto="1"/>
            </x14:dataBar>
          </x14:cfRule>
          <xm:sqref>D2:D16</xm:sqref>
        </x14:conditionalFormatting>
        <x14:conditionalFormatting xmlns:xm="http://schemas.microsoft.com/office/excel/2006/main">
          <x14:cfRule type="dataBar" id="{46AC47D1-8AE8-FE17-A88B-9216AC51A43A}">
            <x14:dataBar>
              <x14:cfvo type="min"/>
              <x14:cfvo type="max"/>
              <x14:negativeFillColor auto="1"/>
              <x14:axisColor auto="1"/>
            </x14:dataBar>
          </x14:cfRule>
          <xm:sqref>I2:I16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E17" sqref="E17"/>
    </sheetView>
  </sheetViews>
  <sheetFormatPr defaultRowHeight="14.25"/>
  <cols>
    <col min="1" max="1" width="28" customWidth="1"/>
    <col min="2" max="2" width="32" customWidth="1"/>
    <col min="3" max="3" width="60" customWidth="1"/>
  </cols>
  <sheetData>
    <row r="1" spans="1:3" ht="15">
      <c r="A1" s="2" t="s">
        <v>466</v>
      </c>
      <c r="B1" s="2" t="s">
        <v>467</v>
      </c>
      <c r="C1" s="2" t="s">
        <v>468</v>
      </c>
    </row>
    <row r="2" spans="1:3">
      <c r="A2" t="s">
        <v>469</v>
      </c>
      <c r="B2">
        <v>222</v>
      </c>
      <c r="C2" t="s">
        <v>470</v>
      </c>
    </row>
    <row r="3" spans="1:3">
      <c r="A3" t="s">
        <v>471</v>
      </c>
      <c r="B3">
        <v>20215</v>
      </c>
      <c r="C3" t="s">
        <v>472</v>
      </c>
    </row>
    <row r="4" spans="1:3">
      <c r="A4" t="s">
        <v>464</v>
      </c>
      <c r="B4">
        <v>8299</v>
      </c>
      <c r="C4" t="s">
        <v>473</v>
      </c>
    </row>
    <row r="5" spans="1:3">
      <c r="A5" t="s">
        <v>465</v>
      </c>
      <c r="B5">
        <v>141</v>
      </c>
      <c r="C5" t="s">
        <v>474</v>
      </c>
    </row>
    <row r="6" spans="1:3">
      <c r="A6" t="s">
        <v>475</v>
      </c>
      <c r="B6">
        <v>11775</v>
      </c>
      <c r="C6" t="s">
        <v>476</v>
      </c>
    </row>
    <row r="7" spans="1:3">
      <c r="A7" t="s">
        <v>6</v>
      </c>
      <c r="B7">
        <v>3562</v>
      </c>
      <c r="C7" t="s">
        <v>477</v>
      </c>
    </row>
    <row r="8" spans="1:3">
      <c r="A8" t="s">
        <v>7</v>
      </c>
      <c r="B8">
        <v>5560</v>
      </c>
      <c r="C8" t="s">
        <v>478</v>
      </c>
    </row>
    <row r="9" spans="1:3">
      <c r="A9" t="s">
        <v>8</v>
      </c>
      <c r="B9">
        <v>2203</v>
      </c>
      <c r="C9" t="s">
        <v>479</v>
      </c>
    </row>
    <row r="10" spans="1:3">
      <c r="A10" t="s">
        <v>9</v>
      </c>
      <c r="B10">
        <v>450</v>
      </c>
      <c r="C10" t="s">
        <v>480</v>
      </c>
    </row>
    <row r="11" spans="1:3">
      <c r="A11" t="s">
        <v>481</v>
      </c>
      <c r="B11" t="s">
        <v>482</v>
      </c>
      <c r="C11" t="s">
        <v>483</v>
      </c>
    </row>
    <row r="12" spans="1:3">
      <c r="A12" t="s">
        <v>484</v>
      </c>
      <c r="B12" t="s">
        <v>485</v>
      </c>
      <c r="C12" t="s">
        <v>486</v>
      </c>
    </row>
    <row r="15" spans="1:3" ht="15">
      <c r="A15" s="1" t="s">
        <v>487</v>
      </c>
      <c r="B15" s="1" t="s">
        <v>488</v>
      </c>
      <c r="C15" s="1" t="s">
        <v>489</v>
      </c>
    </row>
    <row r="16" spans="1:3">
      <c r="A16" t="s">
        <v>460</v>
      </c>
      <c r="B16" t="s">
        <v>490</v>
      </c>
      <c r="C16" t="s">
        <v>491</v>
      </c>
    </row>
    <row r="17" spans="1:3">
      <c r="A17" t="s">
        <v>461</v>
      </c>
      <c r="B17" t="s">
        <v>478</v>
      </c>
      <c r="C17" t="s">
        <v>492</v>
      </c>
    </row>
    <row r="18" spans="1:3">
      <c r="A18" t="s">
        <v>462</v>
      </c>
      <c r="B18" t="s">
        <v>493</v>
      </c>
      <c r="C18" t="s">
        <v>494</v>
      </c>
    </row>
    <row r="19" spans="1:3">
      <c r="A19" t="s">
        <v>463</v>
      </c>
      <c r="B19" t="s">
        <v>495</v>
      </c>
      <c r="C19" t="s">
        <v>494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POI统计_去餐饮</vt:lpstr>
      <vt:lpstr>Top15区域</vt:lpstr>
      <vt:lpstr>说明与分类规则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哈狗</dc:creator>
  <cp:lastModifiedBy>Tong Xiao</cp:lastModifiedBy>
  <dcterms:created xsi:type="dcterms:W3CDTF">2026-05-26T17:40:23Z</dcterms:created>
  <dcterms:modified xsi:type="dcterms:W3CDTF">2026-05-26T17:40:23Z</dcterms:modified>
</cp:coreProperties>
</file>